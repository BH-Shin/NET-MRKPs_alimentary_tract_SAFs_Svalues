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bangho_shin_ufl_edu/Documents/1. Research/0. Journal_article/MRKPs_alimentary tract SAFs/Supplemental_data/"/>
    </mc:Choice>
  </mc:AlternateContent>
  <xr:revisionPtr revIDLastSave="1201" documentId="8_{85B0524A-A64F-4555-B33B-2E9B53A6FB8E}" xr6:coauthVersionLast="47" xr6:coauthVersionMax="47" xr10:uidLastSave="{BC1E3B7A-850A-470A-8339-9B2B4527B562}"/>
  <bookViews>
    <workbookView xWindow="-96" yWindow="-96" windowWidth="23232" windowHeight="12432" activeTab="1" xr2:uid="{426DC169-48E9-4562-8E4A-299976FF868F}"/>
  </bookViews>
  <sheets>
    <sheet name="AM" sheetId="1" r:id="rId1"/>
    <sheet name="A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F12" i="2"/>
  <c r="F14" i="2"/>
  <c r="F11" i="1"/>
  <c r="F12" i="1"/>
  <c r="F14" i="1"/>
  <c r="F16" i="1"/>
  <c r="E16" i="1"/>
  <c r="D16" i="1"/>
  <c r="E14" i="1"/>
  <c r="D14" i="1"/>
  <c r="E12" i="1"/>
  <c r="D12" i="1"/>
  <c r="E11" i="1"/>
  <c r="D11" i="1"/>
  <c r="F5" i="1"/>
  <c r="E5" i="1"/>
  <c r="D5" i="1"/>
  <c r="F3" i="1"/>
  <c r="E3" i="1"/>
  <c r="D3" i="1"/>
  <c r="F16" i="2"/>
  <c r="E16" i="2"/>
  <c r="D16" i="2"/>
  <c r="E14" i="2"/>
  <c r="D14" i="2"/>
  <c r="E12" i="2"/>
  <c r="D12" i="2"/>
  <c r="E11" i="2"/>
  <c r="D11" i="2"/>
  <c r="F5" i="2"/>
  <c r="E5" i="2"/>
  <c r="D5" i="2"/>
  <c r="F3" i="2"/>
  <c r="E3" i="2"/>
  <c r="D3" i="2"/>
  <c r="E17" i="2"/>
  <c r="D17" i="2"/>
  <c r="E15" i="2"/>
  <c r="D15" i="2"/>
  <c r="E13" i="2"/>
  <c r="D13" i="2"/>
  <c r="E10" i="2"/>
  <c r="D10" i="2"/>
  <c r="E9" i="2"/>
  <c r="D9" i="2"/>
  <c r="E8" i="2"/>
  <c r="D8" i="2"/>
  <c r="E7" i="2"/>
  <c r="D7" i="2"/>
  <c r="E6" i="2"/>
  <c r="D6" i="2"/>
  <c r="E4" i="2"/>
  <c r="D4" i="2"/>
  <c r="E17" i="1"/>
  <c r="D17" i="1"/>
  <c r="E15" i="1"/>
  <c r="D15" i="1"/>
  <c r="E13" i="1"/>
  <c r="D13" i="1"/>
  <c r="E10" i="1"/>
  <c r="D10" i="1"/>
  <c r="E9" i="1"/>
  <c r="D9" i="1"/>
  <c r="E8" i="1"/>
  <c r="D8" i="1"/>
  <c r="E7" i="1"/>
  <c r="D7" i="1"/>
  <c r="E6" i="1"/>
  <c r="D6" i="1"/>
  <c r="E4" i="1"/>
  <c r="D4" i="1"/>
</calcChain>
</file>

<file path=xl/sharedStrings.xml><?xml version="1.0" encoding="utf-8"?>
<sst xmlns="http://schemas.openxmlformats.org/spreadsheetml/2006/main" count="66" uniqueCount="25">
  <si>
    <t>Source</t>
  </si>
  <si>
    <t>Target</t>
  </si>
  <si>
    <t>SAF (unit: kg^-1)</t>
  </si>
  <si>
    <t>O-mucosa</t>
  </si>
  <si>
    <t>Teeth-S</t>
  </si>
  <si>
    <t>Oesophag-f</t>
  </si>
  <si>
    <t>Oesophagus</t>
  </si>
  <si>
    <t>Oesophag-s</t>
  </si>
  <si>
    <t>St-cont</t>
  </si>
  <si>
    <t>St-stem</t>
  </si>
  <si>
    <t>St-mucosa</t>
  </si>
  <si>
    <t>SI-cont</t>
  </si>
  <si>
    <t>SI-stem</t>
  </si>
  <si>
    <t>SI-villi</t>
  </si>
  <si>
    <t>SI-mucosa</t>
  </si>
  <si>
    <t>RC-cont</t>
  </si>
  <si>
    <t>RC-stem</t>
  </si>
  <si>
    <t>RC-mucosa</t>
  </si>
  <si>
    <t>LC-cont</t>
  </si>
  <si>
    <t>LC-stem</t>
  </si>
  <si>
    <t>LC-mucosa</t>
  </si>
  <si>
    <t>RS-cont</t>
  </si>
  <si>
    <t>RS-stem</t>
  </si>
  <si>
    <t>RS-mucosa</t>
  </si>
  <si>
    <t>O-cavity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</si>
</sst>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/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11" fontId="1" fillId="3" borderId="1" xfId="2" applyNumberFormat="1" applyBorder="1"/>
    <xf numFmtId="11" fontId="0" fillId="0" borderId="0" xfId="0" applyNumberFormat="1" applyAlignment="1">
      <alignment vertical="center"/>
    </xf>
    <xf numFmtId="0" fontId="0" fillId="2" borderId="0" xfId="1" applyFont="1" applyBorder="1" applyAlignment="1">
      <alignment horizontal="center"/>
    </xf>
    <xf numFmtId="0" fontId="0" fillId="2" borderId="3" xfId="1" applyFont="1" applyBorder="1" applyAlignment="1">
      <alignment horizontal="center"/>
    </xf>
    <xf numFmtId="0" fontId="0" fillId="2" borderId="0" xfId="1" applyFont="1" applyBorder="1" applyAlignment="1">
      <alignment horizontal="center" vertical="center"/>
    </xf>
    <xf numFmtId="0" fontId="0" fillId="2" borderId="2" xfId="1" applyFont="1" applyBorder="1" applyAlignment="1">
      <alignment horizontal="center" vertical="center"/>
    </xf>
  </cellXfs>
  <cellStyles count="3">
    <cellStyle name="20% - Accent2" xfId="2" builtinId="34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4BE0-3039-4C2C-A8BD-98334ED99D99}">
  <dimension ref="A1:AD3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6" sqref="O6"/>
    </sheetView>
  </sheetViews>
  <sheetFormatPr defaultRowHeight="15" x14ac:dyDescent="0.25"/>
  <cols>
    <col min="1" max="2" width="12.140625" bestFit="1" customWidth="1"/>
    <col min="3" max="30" width="8.7109375" customWidth="1"/>
  </cols>
  <sheetData>
    <row r="1" spans="1:30" x14ac:dyDescent="0.25">
      <c r="A1" s="6" t="s">
        <v>0</v>
      </c>
      <c r="B1" s="6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5"/>
    </row>
    <row r="2" spans="1:30" x14ac:dyDescent="0.25">
      <c r="A2" s="7"/>
      <c r="B2" s="7"/>
      <c r="C2" s="2">
        <v>9.9999999999999995E-7</v>
      </c>
      <c r="D2" s="2">
        <v>1E-3</v>
      </c>
      <c r="E2" s="2">
        <v>5.0000000000000001E-3</v>
      </c>
      <c r="F2" s="2">
        <v>0.01</v>
      </c>
      <c r="G2" s="2">
        <v>1.4999999999999999E-2</v>
      </c>
      <c r="H2" s="2">
        <v>0.02</v>
      </c>
      <c r="I2" s="2">
        <v>0.03</v>
      </c>
      <c r="J2" s="2">
        <v>0.04</v>
      </c>
      <c r="K2" s="2">
        <v>0.05</v>
      </c>
      <c r="L2" s="2">
        <v>0.06</v>
      </c>
      <c r="M2" s="2">
        <v>0.08</v>
      </c>
      <c r="N2" s="2">
        <v>0.1</v>
      </c>
      <c r="O2" s="2">
        <v>0.15</v>
      </c>
      <c r="P2" s="2">
        <v>0.2</v>
      </c>
      <c r="Q2" s="2">
        <v>0.3</v>
      </c>
      <c r="R2" s="2">
        <v>0.4</v>
      </c>
      <c r="S2" s="2">
        <v>0.5</v>
      </c>
      <c r="T2" s="2">
        <v>0.6</v>
      </c>
      <c r="U2" s="2">
        <v>0.8</v>
      </c>
      <c r="V2" s="2">
        <v>1</v>
      </c>
      <c r="W2" s="2">
        <v>1.5</v>
      </c>
      <c r="X2" s="2">
        <v>2</v>
      </c>
      <c r="Y2" s="2">
        <v>3</v>
      </c>
      <c r="Z2" s="2">
        <v>4</v>
      </c>
      <c r="AA2" s="2">
        <v>5</v>
      </c>
      <c r="AB2" s="2">
        <v>6</v>
      </c>
      <c r="AC2" s="2">
        <v>8</v>
      </c>
      <c r="AD2" s="2">
        <v>10</v>
      </c>
    </row>
    <row r="3" spans="1:30" x14ac:dyDescent="0.25">
      <c r="A3" t="s">
        <v>24</v>
      </c>
      <c r="B3" t="s">
        <v>3</v>
      </c>
      <c r="C3" s="3">
        <v>9.9999999999999998E-13</v>
      </c>
      <c r="D3" s="3">
        <f>10^(LOG($C3)+((LOG($G3)-LOG($C3))/(LOG($G$2)-LOG($C$2)))*(LOG(D$2)-LOG($C$2)))</f>
        <v>1.0790618270795549E-6</v>
      </c>
      <c r="E3" s="3">
        <f>10^(LOG($C3)+((LOG($G3)-LOG($C3))/(LOG($G$2)-LOG($C$2)))*(LOG(E$2)-LOG($C$2)))</f>
        <v>2.745906860572483E-5</v>
      </c>
      <c r="F3" s="3">
        <f>10^(LOG($C3)+((LOG($G3)-LOG($C3))/(LOG($G$2)-LOG($C$2)))*(LOG(F$2)-LOG($C$2)))</f>
        <v>1.1067811967908766E-4</v>
      </c>
      <c r="G3" s="1">
        <v>2.5014049999999999E-4</v>
      </c>
      <c r="H3" s="1">
        <v>4.4223E-4</v>
      </c>
      <c r="I3" s="1">
        <v>8.2035400000000003E-4</v>
      </c>
      <c r="J3" s="1">
        <v>9.3387899999999998E-4</v>
      </c>
      <c r="K3" s="1">
        <v>1.2135500000000001E-3</v>
      </c>
      <c r="L3" s="1">
        <v>1.32018E-3</v>
      </c>
      <c r="M3" s="1">
        <v>1.5986100000000001E-3</v>
      </c>
      <c r="N3" s="1">
        <v>1.77016E-3</v>
      </c>
      <c r="O3" s="1">
        <v>0.31828600000000001</v>
      </c>
      <c r="P3" s="1">
        <v>1.79281</v>
      </c>
      <c r="Q3" s="1">
        <v>4.1733500000000001</v>
      </c>
      <c r="R3" s="1">
        <v>5.4719800000000003</v>
      </c>
      <c r="S3" s="1">
        <v>6.2140399999999998</v>
      </c>
      <c r="T3" s="1">
        <v>6.66167</v>
      </c>
      <c r="U3" s="1">
        <v>7.1378500000000003</v>
      </c>
      <c r="V3" s="1">
        <v>7.4024099999999997</v>
      </c>
      <c r="W3" s="1">
        <v>7.41662</v>
      </c>
      <c r="X3" s="1">
        <v>7.2857799999999999</v>
      </c>
      <c r="Y3" s="1">
        <v>6.7292500000000004</v>
      </c>
      <c r="Z3" s="1">
        <v>6.1255199999999999</v>
      </c>
      <c r="AA3" s="1">
        <v>5.5647599999999997</v>
      </c>
      <c r="AB3" s="1">
        <v>5.0924800000000001</v>
      </c>
      <c r="AC3" s="1">
        <v>4.2644700000000002</v>
      </c>
      <c r="AD3" s="1">
        <v>3.6189300000000002</v>
      </c>
    </row>
    <row r="4" spans="1:30" x14ac:dyDescent="0.25">
      <c r="A4" t="s">
        <v>4</v>
      </c>
      <c r="B4" t="s">
        <v>3</v>
      </c>
      <c r="C4" s="3">
        <v>9.9999999999999998E-13</v>
      </c>
      <c r="D4" s="3">
        <f>10^(LOG($C4)+((LOG($F4)-LOG($C4))/(LOG($F$2)-LOG($C$2)))*(LOG(D$2)-LOG($C$2)))</f>
        <v>7.0592685191509389E-6</v>
      </c>
      <c r="E4" s="3">
        <f>10^(LOG($C4)+((LOG($F4)-LOG($C4))/(LOG($F$2)-LOG($C$2)))*(LOG(E$2)-LOG($C$2)))</f>
        <v>2.7826093151211393E-4</v>
      </c>
      <c r="F4" s="1">
        <v>1.3541899999999999E-3</v>
      </c>
      <c r="G4" s="1">
        <v>7.9324099999999998E-4</v>
      </c>
      <c r="H4" s="1">
        <v>1.5386099999999999E-3</v>
      </c>
      <c r="I4" s="1">
        <v>4.55705E-3</v>
      </c>
      <c r="J4" s="1">
        <v>2.6041699999999998E-3</v>
      </c>
      <c r="K4" s="1">
        <v>5.8140700000000002E-3</v>
      </c>
      <c r="L4" s="1">
        <v>4.4779299999999998E-3</v>
      </c>
      <c r="M4" s="1">
        <v>7.2576699999999999E-3</v>
      </c>
      <c r="N4" s="1">
        <v>4.0271300000000003E-3</v>
      </c>
      <c r="O4" s="1">
        <v>25.139099999999999</v>
      </c>
      <c r="P4" s="1">
        <v>46.051400000000001</v>
      </c>
      <c r="Q4" s="1">
        <v>40.616500000000002</v>
      </c>
      <c r="R4" s="1">
        <v>33.227699999999999</v>
      </c>
      <c r="S4" s="1">
        <v>28.014399999999998</v>
      </c>
      <c r="T4" s="1">
        <v>23.8187</v>
      </c>
      <c r="U4" s="1">
        <v>19.618500000000001</v>
      </c>
      <c r="V4" s="1">
        <v>16.626899999999999</v>
      </c>
      <c r="W4" s="1">
        <v>11.961</v>
      </c>
      <c r="X4" s="1">
        <v>9.4064099999999993</v>
      </c>
      <c r="Y4" s="1">
        <v>6.6871400000000003</v>
      </c>
      <c r="Z4" s="1">
        <v>5.2881400000000003</v>
      </c>
      <c r="AA4" s="1">
        <v>4.47797</v>
      </c>
      <c r="AB4" s="1">
        <v>4.0339799999999997</v>
      </c>
      <c r="AC4" s="1">
        <v>3.38205</v>
      </c>
      <c r="AD4" s="1">
        <v>2.9172199999999999</v>
      </c>
    </row>
    <row r="5" spans="1:30" x14ac:dyDescent="0.25">
      <c r="A5" t="s">
        <v>5</v>
      </c>
      <c r="B5" t="s">
        <v>6</v>
      </c>
      <c r="C5" s="3">
        <v>9.9999999999999998E-13</v>
      </c>
      <c r="D5" s="3">
        <f>10^(LOG($C5)+((LOG($G5)-LOG($C5))/(LOG($G$2)-LOG($C$2)))*(LOG(D$2)-LOG($C$2)))</f>
        <v>1.7885323429070051E-6</v>
      </c>
      <c r="E5" s="3">
        <f>10^(LOG($C5)+((LOG($G5)-LOG($C5))/(LOG($G$2)-LOG($C$2)))*(LOG(E$2)-LOG($C$2)))</f>
        <v>5.119953729465329E-5</v>
      </c>
      <c r="F5" s="3">
        <f>10^(LOG($C5)+((LOG($G5)-LOG($C5))/(LOG($G$2)-LOG($C$2)))*(LOG(F$2)-LOG($C$2)))</f>
        <v>2.1710128674059953E-4</v>
      </c>
      <c r="G5" s="1">
        <v>5.054355E-4</v>
      </c>
      <c r="H5" s="1">
        <v>7.9914999999999999E-4</v>
      </c>
      <c r="I5" s="1">
        <v>1.4031E-3</v>
      </c>
      <c r="J5" s="1">
        <v>1.81077E-3</v>
      </c>
      <c r="K5" s="1">
        <v>1.8524100000000001E-3</v>
      </c>
      <c r="L5" s="1">
        <v>2.2074400000000002E-3</v>
      </c>
      <c r="M5" s="1">
        <v>2.4184300000000001E-3</v>
      </c>
      <c r="N5" s="1">
        <v>2.9497E-3</v>
      </c>
      <c r="O5" s="1">
        <v>0.53651300000000002</v>
      </c>
      <c r="P5" s="1">
        <v>3.8460299999999998</v>
      </c>
      <c r="Q5" s="1">
        <v>9.3232099999999996</v>
      </c>
      <c r="R5" s="1">
        <v>12.1799</v>
      </c>
      <c r="S5" s="1">
        <v>13.7928</v>
      </c>
      <c r="T5" s="1">
        <v>14.5063</v>
      </c>
      <c r="U5" s="1">
        <v>15.5425</v>
      </c>
      <c r="V5" s="1">
        <v>15.7807</v>
      </c>
      <c r="W5" s="1">
        <v>15.510899999999999</v>
      </c>
      <c r="X5" s="1">
        <v>14.317</v>
      </c>
      <c r="Y5" s="1">
        <v>11.232200000000001</v>
      </c>
      <c r="Z5" s="1">
        <v>8.78078</v>
      </c>
      <c r="AA5" s="1">
        <v>7.1418699999999999</v>
      </c>
      <c r="AB5" s="1">
        <v>5.9920799999999996</v>
      </c>
      <c r="AC5" s="1">
        <v>4.5501100000000001</v>
      </c>
      <c r="AD5" s="1">
        <v>3.6887099999999999</v>
      </c>
    </row>
    <row r="6" spans="1:30" x14ac:dyDescent="0.25">
      <c r="A6" t="s">
        <v>7</v>
      </c>
      <c r="B6" t="s">
        <v>6</v>
      </c>
      <c r="C6" s="3">
        <v>9.9999999999999998E-13</v>
      </c>
      <c r="D6" s="3">
        <f t="shared" ref="D6:E10" si="0">10^(LOG($C6)+((LOG($F6)-LOG($C6))/(LOG($F$2)-LOG($C$2)))*(LOG(D$2)-LOG($C$2)))</f>
        <v>9.0592640062903492E-6</v>
      </c>
      <c r="E6" s="3">
        <f t="shared" si="0"/>
        <v>3.7846524578541798E-4</v>
      </c>
      <c r="F6" s="1">
        <v>1.88853E-3</v>
      </c>
      <c r="G6" s="1">
        <v>3.80883E-3</v>
      </c>
      <c r="H6" s="1">
        <v>4.8409000000000004E-3</v>
      </c>
      <c r="I6" s="1">
        <v>6.3502899999999998E-3</v>
      </c>
      <c r="J6" s="1">
        <v>7.6395999999999999E-3</v>
      </c>
      <c r="K6" s="1">
        <v>7.8607999999999994E-3</v>
      </c>
      <c r="L6" s="1">
        <v>9.4389499999999998E-3</v>
      </c>
      <c r="M6" s="1">
        <v>1.0290199999999999E-2</v>
      </c>
      <c r="N6" s="1">
        <v>1.19063E-2</v>
      </c>
      <c r="O6" s="1">
        <v>49.670900000000003</v>
      </c>
      <c r="P6" s="1">
        <v>110.896</v>
      </c>
      <c r="Q6" s="1">
        <v>100.133</v>
      </c>
      <c r="R6" s="1">
        <v>81.090299999999999</v>
      </c>
      <c r="S6" s="1">
        <v>67.617800000000003</v>
      </c>
      <c r="T6" s="1">
        <v>59.625399999999999</v>
      </c>
      <c r="U6" s="1">
        <v>48.463700000000003</v>
      </c>
      <c r="V6" s="1">
        <v>40.731299999999997</v>
      </c>
      <c r="W6" s="1">
        <v>28.4648</v>
      </c>
      <c r="X6" s="1">
        <v>22.657800000000002</v>
      </c>
      <c r="Y6" s="1">
        <v>16.7136</v>
      </c>
      <c r="Z6" s="1">
        <v>12.8828</v>
      </c>
      <c r="AA6" s="1">
        <v>10.2507</v>
      </c>
      <c r="AB6" s="1">
        <v>8.6899300000000004</v>
      </c>
      <c r="AC6" s="1">
        <v>6.6050899999999997</v>
      </c>
      <c r="AD6" s="1">
        <v>5.2716500000000002</v>
      </c>
    </row>
    <row r="7" spans="1:30" x14ac:dyDescent="0.25">
      <c r="A7" t="s">
        <v>8</v>
      </c>
      <c r="B7" t="s">
        <v>9</v>
      </c>
      <c r="C7" s="3">
        <v>9.9999999999999998E-13</v>
      </c>
      <c r="D7" s="3">
        <f t="shared" si="0"/>
        <v>4.3170874253841986E-7</v>
      </c>
      <c r="E7" s="3">
        <f t="shared" si="0"/>
        <v>8.8742971451952174E-6</v>
      </c>
      <c r="F7" s="1">
        <v>3.26278E-5</v>
      </c>
      <c r="G7" s="1">
        <v>7.7631099999999996E-5</v>
      </c>
      <c r="H7" s="1">
        <v>1.3080700000000001E-4</v>
      </c>
      <c r="I7" s="1">
        <v>1.97037E-4</v>
      </c>
      <c r="J7" s="1">
        <v>2.5548500000000001E-4</v>
      </c>
      <c r="K7" s="1">
        <v>3.47146E-4</v>
      </c>
      <c r="L7" s="1">
        <v>3.9638299999999999E-4</v>
      </c>
      <c r="M7" s="1">
        <v>2.91024E-2</v>
      </c>
      <c r="N7" s="1">
        <v>0.20604</v>
      </c>
      <c r="O7" s="1">
        <v>0.78325</v>
      </c>
      <c r="P7" s="1">
        <v>1.1199300000000001</v>
      </c>
      <c r="Q7" s="1">
        <v>1.46936</v>
      </c>
      <c r="R7" s="1">
        <v>1.60463</v>
      </c>
      <c r="S7" s="1">
        <v>1.7292700000000001</v>
      </c>
      <c r="T7" s="1">
        <v>1.76956</v>
      </c>
      <c r="U7" s="1">
        <v>1.8089900000000001</v>
      </c>
      <c r="V7" s="1">
        <v>1.85202</v>
      </c>
      <c r="W7" s="1">
        <v>1.86568</v>
      </c>
      <c r="X7" s="1">
        <v>1.8529899999999999</v>
      </c>
      <c r="Y7" s="1">
        <v>1.8006599999999999</v>
      </c>
      <c r="Z7" s="1">
        <v>1.7305600000000001</v>
      </c>
      <c r="AA7" s="1">
        <v>1.6612800000000001</v>
      </c>
      <c r="AB7" s="1">
        <v>1.59474</v>
      </c>
      <c r="AC7" s="1">
        <v>1.4393</v>
      </c>
      <c r="AD7" s="1">
        <v>1.28531</v>
      </c>
    </row>
    <row r="8" spans="1:30" x14ac:dyDescent="0.25">
      <c r="A8" t="s">
        <v>10</v>
      </c>
      <c r="B8" t="s">
        <v>9</v>
      </c>
      <c r="C8" s="3">
        <v>133.07870940267622</v>
      </c>
      <c r="D8" s="3">
        <f t="shared" si="0"/>
        <v>133.0676771982383</v>
      </c>
      <c r="E8" s="3">
        <f t="shared" si="0"/>
        <v>133.06510693627905</v>
      </c>
      <c r="F8" s="1">
        <v>133.06399999999999</v>
      </c>
      <c r="G8" s="1">
        <v>133.07400000000001</v>
      </c>
      <c r="H8" s="1">
        <v>133.06200000000001</v>
      </c>
      <c r="I8" s="1">
        <v>133.066</v>
      </c>
      <c r="J8" s="1">
        <v>133.071</v>
      </c>
      <c r="K8" s="1">
        <v>133.053</v>
      </c>
      <c r="L8" s="1">
        <v>133.053</v>
      </c>
      <c r="M8" s="1">
        <v>132.24799999999999</v>
      </c>
      <c r="N8" s="1">
        <v>126.771</v>
      </c>
      <c r="O8" s="1">
        <v>108.187</v>
      </c>
      <c r="P8" s="1">
        <v>89.130499999999998</v>
      </c>
      <c r="Q8" s="1">
        <v>60.252899999999997</v>
      </c>
      <c r="R8" s="1">
        <v>44.979100000000003</v>
      </c>
      <c r="S8" s="1">
        <v>35.932499999999997</v>
      </c>
      <c r="T8" s="1">
        <v>30.084299999999999</v>
      </c>
      <c r="U8" s="1">
        <v>22.7834</v>
      </c>
      <c r="V8" s="1">
        <v>18.457999999999998</v>
      </c>
      <c r="W8" s="1">
        <v>12.891999999999999</v>
      </c>
      <c r="X8" s="1">
        <v>10.0306</v>
      </c>
      <c r="Y8" s="1">
        <v>7.1483999999999996</v>
      </c>
      <c r="Z8" s="1">
        <v>5.6323299999999996</v>
      </c>
      <c r="AA8" s="1">
        <v>4.6843500000000002</v>
      </c>
      <c r="AB8" s="1">
        <v>4.0361099999999999</v>
      </c>
      <c r="AC8" s="1">
        <v>3.2009799999999999</v>
      </c>
      <c r="AD8" s="1">
        <v>2.6771699999999998</v>
      </c>
    </row>
    <row r="9" spans="1:30" x14ac:dyDescent="0.25">
      <c r="A9" t="s">
        <v>11</v>
      </c>
      <c r="B9" t="s">
        <v>12</v>
      </c>
      <c r="C9" s="3">
        <v>9.9999999999999998E-13</v>
      </c>
      <c r="D9" s="3">
        <f t="shared" si="0"/>
        <v>2.4193262134451538E-7</v>
      </c>
      <c r="E9" s="3">
        <f t="shared" si="0"/>
        <v>4.345516510385838E-6</v>
      </c>
      <c r="F9" s="1">
        <v>1.5075066666666667E-5</v>
      </c>
      <c r="G9" s="1">
        <v>4.2451099999999997E-5</v>
      </c>
      <c r="H9" s="1">
        <v>6.0964300000000002E-5</v>
      </c>
      <c r="I9" s="1">
        <v>1.13869E-4</v>
      </c>
      <c r="J9" s="1">
        <v>1.43378E-4</v>
      </c>
      <c r="K9" s="1">
        <v>1.8520599999999999E-4</v>
      </c>
      <c r="L9" s="1">
        <v>2.10044E-4</v>
      </c>
      <c r="M9" s="1">
        <v>2.4985099999999999E-4</v>
      </c>
      <c r="N9" s="1">
        <v>9.1716400000000004E-4</v>
      </c>
      <c r="O9" s="1">
        <v>0.18076700000000001</v>
      </c>
      <c r="P9" s="1">
        <v>0.45596100000000001</v>
      </c>
      <c r="Q9" s="1">
        <v>0.77156599999999997</v>
      </c>
      <c r="R9" s="1">
        <v>0.93193700000000002</v>
      </c>
      <c r="S9" s="1">
        <v>1.0153000000000001</v>
      </c>
      <c r="T9" s="1">
        <v>1.0632900000000001</v>
      </c>
      <c r="U9" s="1">
        <v>1.10026</v>
      </c>
      <c r="V9" s="1">
        <v>1.1160000000000001</v>
      </c>
      <c r="W9" s="1">
        <v>1.1036300000000001</v>
      </c>
      <c r="X9" s="1">
        <v>1.04572</v>
      </c>
      <c r="Y9" s="1">
        <v>0.91976599999999997</v>
      </c>
      <c r="Z9" s="1">
        <v>0.81606999999999996</v>
      </c>
      <c r="AA9" s="1">
        <v>0.73333700000000002</v>
      </c>
      <c r="AB9" s="1">
        <v>0.66992700000000005</v>
      </c>
      <c r="AC9" s="1">
        <v>0.57415700000000003</v>
      </c>
      <c r="AD9" s="1">
        <v>0.50393100000000002</v>
      </c>
    </row>
    <row r="10" spans="1:30" x14ac:dyDescent="0.25">
      <c r="A10" t="s">
        <v>14</v>
      </c>
      <c r="B10" t="s">
        <v>12</v>
      </c>
      <c r="C10" s="3">
        <v>45.627931594604959</v>
      </c>
      <c r="D10" s="3">
        <f t="shared" si="0"/>
        <v>45.627232896868072</v>
      </c>
      <c r="E10" s="3">
        <f t="shared" si="0"/>
        <v>45.627070108818117</v>
      </c>
      <c r="F10" s="1">
        <v>45.627000000000002</v>
      </c>
      <c r="G10" s="1">
        <v>45.622799999999998</v>
      </c>
      <c r="H10" s="1">
        <v>45.616500000000002</v>
      </c>
      <c r="I10" s="1">
        <v>45.621299999999998</v>
      </c>
      <c r="J10" s="1">
        <v>45.653599999999997</v>
      </c>
      <c r="K10" s="1">
        <v>45.626600000000003</v>
      </c>
      <c r="L10" s="1">
        <v>45.597499999999997</v>
      </c>
      <c r="M10" s="1">
        <v>44.127499999999998</v>
      </c>
      <c r="N10" s="1">
        <v>40.812199999999997</v>
      </c>
      <c r="O10" s="1">
        <v>31.769600000000001</v>
      </c>
      <c r="P10" s="1">
        <v>23.889700000000001</v>
      </c>
      <c r="Q10" s="1">
        <v>15.456899999999999</v>
      </c>
      <c r="R10" s="1">
        <v>11.3629</v>
      </c>
      <c r="S10" s="1">
        <v>9.0426500000000001</v>
      </c>
      <c r="T10" s="1">
        <v>7.5258700000000003</v>
      </c>
      <c r="U10" s="1">
        <v>5.6767099999999999</v>
      </c>
      <c r="V10" s="1">
        <v>4.6059099999999997</v>
      </c>
      <c r="W10" s="1">
        <v>3.2042000000000002</v>
      </c>
      <c r="X10" s="1">
        <v>2.53199</v>
      </c>
      <c r="Y10" s="1">
        <v>1.86178</v>
      </c>
      <c r="Z10" s="1">
        <v>1.5209999999999999</v>
      </c>
      <c r="AA10" s="1">
        <v>1.29573</v>
      </c>
      <c r="AB10" s="1">
        <v>1.14219</v>
      </c>
      <c r="AC10" s="1">
        <v>0.93093300000000001</v>
      </c>
      <c r="AD10" s="1">
        <v>0.788547</v>
      </c>
    </row>
    <row r="11" spans="1:30" x14ac:dyDescent="0.25">
      <c r="A11" t="s">
        <v>13</v>
      </c>
      <c r="B11" t="s">
        <v>12</v>
      </c>
      <c r="C11" s="3">
        <v>9.9999999999999998E-13</v>
      </c>
      <c r="D11" s="3">
        <f t="shared" ref="D11:F12" si="1">10^(LOG($C11)+((LOG($G11)-LOG($C11))/(LOG($G$2)-LOG($C$2)))*(LOG(D$2)-LOG($C$2)))</f>
        <v>1.5903644787237506E-7</v>
      </c>
      <c r="E11" s="3">
        <f t="shared" si="1"/>
        <v>2.5905583751239232E-6</v>
      </c>
      <c r="F11" s="3">
        <f t="shared" si="1"/>
        <v>8.6164602614445341E-6</v>
      </c>
      <c r="G11" s="1">
        <v>1.7403699999999997E-5</v>
      </c>
      <c r="H11" s="1">
        <v>3.2837899999999999E-5</v>
      </c>
      <c r="I11" s="1">
        <v>6.4365599999999999E-5</v>
      </c>
      <c r="J11" s="1">
        <v>9.8484200000000001E-5</v>
      </c>
      <c r="K11" s="1">
        <v>1.2587699999999999E-4</v>
      </c>
      <c r="L11" s="1">
        <v>1.3904799999999999E-4</v>
      </c>
      <c r="M11" s="1">
        <v>1.62175E-4</v>
      </c>
      <c r="N11" s="1">
        <v>2.03029E-4</v>
      </c>
      <c r="O11" s="1">
        <v>2.57691E-4</v>
      </c>
      <c r="P11" s="1">
        <v>3.25304E-4</v>
      </c>
      <c r="Q11" s="1">
        <v>1.7090899999999999E-2</v>
      </c>
      <c r="R11" s="1">
        <v>0.19449900000000001</v>
      </c>
      <c r="S11" s="1">
        <v>0.38804499999999997</v>
      </c>
      <c r="T11" s="1">
        <v>0.53709700000000005</v>
      </c>
      <c r="U11" s="1">
        <v>0.73188699999999995</v>
      </c>
      <c r="V11" s="1">
        <v>0.83496599999999999</v>
      </c>
      <c r="W11" s="1">
        <v>0.93532400000000004</v>
      </c>
      <c r="X11" s="1">
        <v>0.93793899999999997</v>
      </c>
      <c r="Y11" s="1">
        <v>0.85280999999999996</v>
      </c>
      <c r="Z11" s="1">
        <v>0.76720900000000003</v>
      </c>
      <c r="AA11" s="1">
        <v>0.69441299999999995</v>
      </c>
      <c r="AB11" s="1">
        <v>0.635301</v>
      </c>
      <c r="AC11" s="1">
        <v>0.54926699999999995</v>
      </c>
      <c r="AD11" s="1">
        <v>0.48483700000000002</v>
      </c>
    </row>
    <row r="12" spans="1:30" x14ac:dyDescent="0.25">
      <c r="A12" t="s">
        <v>15</v>
      </c>
      <c r="B12" t="s">
        <v>16</v>
      </c>
      <c r="C12" s="3">
        <v>9.9999999999999998E-13</v>
      </c>
      <c r="D12" s="3">
        <f t="shared" si="1"/>
        <v>3.8357084493609701E-7</v>
      </c>
      <c r="E12" s="3">
        <f t="shared" si="1"/>
        <v>7.6705372109789665E-6</v>
      </c>
      <c r="F12" s="3">
        <f t="shared" si="1"/>
        <v>2.786938930784884E-5</v>
      </c>
      <c r="G12" s="1">
        <v>5.9276550000000004E-5</v>
      </c>
      <c r="H12" s="1">
        <v>1.05744E-4</v>
      </c>
      <c r="I12" s="1">
        <v>1.9589299999999999E-4</v>
      </c>
      <c r="J12" s="1">
        <v>2.5860400000000001E-4</v>
      </c>
      <c r="K12" s="1">
        <v>3.2779E-4</v>
      </c>
      <c r="L12" s="1">
        <v>3.7280400000000002E-4</v>
      </c>
      <c r="M12" s="1">
        <v>4.4042700000000002E-4</v>
      </c>
      <c r="N12" s="1">
        <v>5.1336000000000003E-4</v>
      </c>
      <c r="O12" s="1">
        <v>7.4599099999999999E-4</v>
      </c>
      <c r="P12" s="1">
        <v>0.10797900000000001</v>
      </c>
      <c r="Q12" s="1">
        <v>0.73852700000000004</v>
      </c>
      <c r="R12" s="1">
        <v>1.2033799999999999</v>
      </c>
      <c r="S12" s="1">
        <v>1.4823900000000001</v>
      </c>
      <c r="T12" s="1">
        <v>1.6636</v>
      </c>
      <c r="U12" s="1">
        <v>1.89212</v>
      </c>
      <c r="V12" s="1">
        <v>2.0003299999999999</v>
      </c>
      <c r="W12" s="1">
        <v>2.1367699999999998</v>
      </c>
      <c r="X12" s="1">
        <v>2.1376300000000001</v>
      </c>
      <c r="Y12" s="1">
        <v>2.0752600000000001</v>
      </c>
      <c r="Z12" s="1">
        <v>1.9616899999999999</v>
      </c>
      <c r="AA12" s="1">
        <v>1.8334299999999999</v>
      </c>
      <c r="AB12" s="1">
        <v>1.6808799999999999</v>
      </c>
      <c r="AC12" s="1">
        <v>1.4099600000000001</v>
      </c>
      <c r="AD12" s="1">
        <v>1.2035</v>
      </c>
    </row>
    <row r="13" spans="1:30" x14ac:dyDescent="0.25">
      <c r="A13" t="s">
        <v>17</v>
      </c>
      <c r="B13" t="s">
        <v>16</v>
      </c>
      <c r="C13" s="3">
        <v>96.811044203922776</v>
      </c>
      <c r="D13" s="3">
        <f>10^(LOG($C13)+((LOG($F13)-LOG($C13))/(LOG($F$2)-LOG($C$2)))*(LOG(D$2)-LOG($C$2)))</f>
        <v>95.683064938529753</v>
      </c>
      <c r="E13" s="3">
        <f>10^(LOG($C13)+((LOG($F13)-LOG($C13))/(LOG($F$2)-LOG($C$2)))*(LOG(E$2)-LOG($C$2)))</f>
        <v>95.422150449067317</v>
      </c>
      <c r="F13" s="1">
        <v>95.31</v>
      </c>
      <c r="G13" s="1">
        <v>93.679299999999998</v>
      </c>
      <c r="H13" s="1">
        <v>91.6477</v>
      </c>
      <c r="I13" s="1">
        <v>86.208699999999993</v>
      </c>
      <c r="J13" s="1">
        <v>79.446100000000001</v>
      </c>
      <c r="K13" s="1">
        <v>72.989400000000003</v>
      </c>
      <c r="L13" s="1">
        <v>68.1965</v>
      </c>
      <c r="M13" s="1">
        <v>62.021799999999999</v>
      </c>
      <c r="N13" s="1">
        <v>58.564</v>
      </c>
      <c r="O13" s="1">
        <v>54.331099999999999</v>
      </c>
      <c r="P13" s="1">
        <v>50.4559</v>
      </c>
      <c r="Q13" s="1">
        <v>37.451999999999998</v>
      </c>
      <c r="R13" s="1">
        <v>28.4498</v>
      </c>
      <c r="S13" s="1">
        <v>23.114000000000001</v>
      </c>
      <c r="T13" s="1">
        <v>19.494399999999999</v>
      </c>
      <c r="U13" s="1">
        <v>14.995699999999999</v>
      </c>
      <c r="V13" s="1">
        <v>12.288600000000001</v>
      </c>
      <c r="W13" s="1">
        <v>8.6516800000000007</v>
      </c>
      <c r="X13" s="1">
        <v>6.82552</v>
      </c>
      <c r="Y13" s="1">
        <v>4.9727399999999999</v>
      </c>
      <c r="Z13" s="1">
        <v>4.0126200000000001</v>
      </c>
      <c r="AA13" s="1">
        <v>3.4081100000000002</v>
      </c>
      <c r="AB13" s="1">
        <v>3.00773</v>
      </c>
      <c r="AC13" s="1">
        <v>2.411</v>
      </c>
      <c r="AD13" s="1">
        <v>2.01234</v>
      </c>
    </row>
    <row r="14" spans="1:30" x14ac:dyDescent="0.25">
      <c r="A14" t="s">
        <v>18</v>
      </c>
      <c r="B14" t="s">
        <v>19</v>
      </c>
      <c r="C14" s="3">
        <v>9.9999999999999998E-13</v>
      </c>
      <c r="D14" s="3">
        <f>10^(LOG($C14)+((LOG($G14)-LOG($C14))/(LOG($G$2)-LOG($C$2)))*(LOG(D$2)-LOG($C$2)))</f>
        <v>6.014698187518765E-7</v>
      </c>
      <c r="E14" s="3">
        <f>10^(LOG($C14)+((LOG($G14)-LOG($C14))/(LOG($G$2)-LOG($C$2)))*(LOG(E$2)-LOG($C$2)))</f>
        <v>1.3357121626209336E-5</v>
      </c>
      <c r="F14" s="3">
        <f>10^(LOG($C14)+((LOG($G14)-LOG($C14))/(LOG($G$2)-LOG($C$2)))*(LOG(F$2)-LOG($C$2)))</f>
        <v>5.0771319787141407E-5</v>
      </c>
      <c r="G14" s="1">
        <v>1.10877E-4</v>
      </c>
      <c r="H14" s="1">
        <v>1.92578E-4</v>
      </c>
      <c r="I14" s="1">
        <v>3.5035699999999998E-4</v>
      </c>
      <c r="J14" s="1">
        <v>4.8348E-4</v>
      </c>
      <c r="K14" s="1">
        <v>5.2501100000000003E-4</v>
      </c>
      <c r="L14" s="1">
        <v>6.7259600000000002E-4</v>
      </c>
      <c r="M14" s="1">
        <v>7.7372200000000002E-4</v>
      </c>
      <c r="N14" s="1">
        <v>1.0551099999999999E-3</v>
      </c>
      <c r="O14" s="1">
        <v>5.5681899999999998E-3</v>
      </c>
      <c r="P14" s="1">
        <v>0.23349200000000001</v>
      </c>
      <c r="Q14" s="1">
        <v>1.5268999999999999</v>
      </c>
      <c r="R14" s="1">
        <v>2.4617200000000001</v>
      </c>
      <c r="S14" s="1">
        <v>3.0327700000000002</v>
      </c>
      <c r="T14" s="1">
        <v>3.42849</v>
      </c>
      <c r="U14" s="1">
        <v>3.83209</v>
      </c>
      <c r="V14" s="1">
        <v>4.0463300000000002</v>
      </c>
      <c r="W14" s="1">
        <v>4.2056199999999997</v>
      </c>
      <c r="X14" s="1">
        <v>4.1326999999999998</v>
      </c>
      <c r="Y14" s="1">
        <v>3.82348</v>
      </c>
      <c r="Z14" s="1">
        <v>3.4084300000000001</v>
      </c>
      <c r="AA14" s="1">
        <v>3.02406</v>
      </c>
      <c r="AB14" s="1">
        <v>2.6806999999999999</v>
      </c>
      <c r="AC14" s="1">
        <v>2.1298900000000001</v>
      </c>
      <c r="AD14" s="1">
        <v>1.75532</v>
      </c>
    </row>
    <row r="15" spans="1:30" x14ac:dyDescent="0.25">
      <c r="A15" t="s">
        <v>20</v>
      </c>
      <c r="B15" t="s">
        <v>19</v>
      </c>
      <c r="C15" s="3">
        <v>149.42813851390727</v>
      </c>
      <c r="D15" s="3">
        <f>10^(LOG($C15)+((LOG($F15)-LOG($C15))/(LOG($F$2)-LOG($C$2)))*(LOG(D$2)-LOG($C$2)))</f>
        <v>147.61385330795849</v>
      </c>
      <c r="E15" s="3">
        <f>10^(LOG($C15)+((LOG($F15)-LOG($C15))/(LOG($F$2)-LOG($C$2)))*(LOG(E$2)-LOG($C$2)))</f>
        <v>147.19431693650989</v>
      </c>
      <c r="F15" s="1">
        <v>147.01400000000001</v>
      </c>
      <c r="G15" s="1">
        <v>144.59399999999999</v>
      </c>
      <c r="H15" s="1">
        <v>141.346</v>
      </c>
      <c r="I15" s="1">
        <v>132.83600000000001</v>
      </c>
      <c r="J15" s="1">
        <v>122.19</v>
      </c>
      <c r="K15" s="1">
        <v>112.357</v>
      </c>
      <c r="L15" s="1">
        <v>104.97499999999999</v>
      </c>
      <c r="M15" s="1">
        <v>95.689300000000003</v>
      </c>
      <c r="N15" s="1">
        <v>90.096100000000007</v>
      </c>
      <c r="O15" s="1">
        <v>83.426100000000005</v>
      </c>
      <c r="P15" s="1">
        <v>77.765500000000003</v>
      </c>
      <c r="Q15" s="1">
        <v>58.503500000000003</v>
      </c>
      <c r="R15" s="1">
        <v>44.981900000000003</v>
      </c>
      <c r="S15" s="1">
        <v>36.368000000000002</v>
      </c>
      <c r="T15" s="1">
        <v>30.657499999999999</v>
      </c>
      <c r="U15" s="1">
        <v>23.536200000000001</v>
      </c>
      <c r="V15" s="1">
        <v>19.304300000000001</v>
      </c>
      <c r="W15" s="1">
        <v>13.682700000000001</v>
      </c>
      <c r="X15" s="1">
        <v>10.8147</v>
      </c>
      <c r="Y15" s="1">
        <v>7.8544400000000003</v>
      </c>
      <c r="Z15" s="1">
        <v>6.2961900000000002</v>
      </c>
      <c r="AA15" s="1">
        <v>5.2868700000000004</v>
      </c>
      <c r="AB15" s="1">
        <v>4.5462199999999999</v>
      </c>
      <c r="AC15" s="1">
        <v>3.54203</v>
      </c>
      <c r="AD15" s="1">
        <v>2.8815400000000002</v>
      </c>
    </row>
    <row r="16" spans="1:30" x14ac:dyDescent="0.25">
      <c r="A16" t="s">
        <v>21</v>
      </c>
      <c r="B16" t="s">
        <v>22</v>
      </c>
      <c r="C16" s="3">
        <v>9.9999999999999998E-13</v>
      </c>
      <c r="D16" s="3">
        <f>10^(LOG($C16)+((LOG($G16)-LOG($C16))/(LOG($G$2)-LOG($C$2)))*(LOG(D$2)-LOG($C$2)))</f>
        <v>6.3843470251362542E-7</v>
      </c>
      <c r="E16" s="3">
        <f>10^(LOG($C16)+((LOG($G16)-LOG($C16))/(LOG($G$2)-LOG($C$2)))*(LOG(E$2)-LOG($C$2)))</f>
        <v>1.437641442720157E-5</v>
      </c>
      <c r="F16" s="3">
        <f>10^(LOG($C16)+((LOG($G16)-LOG($C16))/(LOG($G$2)-LOG($C$2)))*(LOG(F$2)-LOG($C$2)))</f>
        <v>5.4973743755744232E-5</v>
      </c>
      <c r="G16" s="1">
        <v>1.204755E-4</v>
      </c>
      <c r="H16" s="1">
        <v>1.8096200000000001E-4</v>
      </c>
      <c r="I16" s="1">
        <v>3.8449799999999999E-4</v>
      </c>
      <c r="J16" s="1">
        <v>4.72845E-4</v>
      </c>
      <c r="K16" s="1">
        <v>6.8370900000000001E-4</v>
      </c>
      <c r="L16" s="1">
        <v>8.2831599999999995E-4</v>
      </c>
      <c r="M16" s="1">
        <v>8.8024999999999996E-4</v>
      </c>
      <c r="N16" s="1">
        <v>1.0984499999999999E-3</v>
      </c>
      <c r="O16" s="1">
        <v>2.5324100000000001E-3</v>
      </c>
      <c r="P16" s="1">
        <v>0.21424499999999999</v>
      </c>
      <c r="Q16" s="1">
        <v>1.5412999999999999</v>
      </c>
      <c r="R16" s="1">
        <v>2.4864899999999999</v>
      </c>
      <c r="S16" s="1">
        <v>3.0477799999999999</v>
      </c>
      <c r="T16" s="1">
        <v>3.3642699999999999</v>
      </c>
      <c r="U16" s="1">
        <v>3.78</v>
      </c>
      <c r="V16" s="1">
        <v>4.0346799999999998</v>
      </c>
      <c r="W16" s="1">
        <v>4.26091</v>
      </c>
      <c r="X16" s="1">
        <v>4.35954</v>
      </c>
      <c r="Y16" s="1">
        <v>4.2456899999999997</v>
      </c>
      <c r="Z16" s="1">
        <v>4.0514000000000001</v>
      </c>
      <c r="AA16" s="1">
        <v>3.8376999999999999</v>
      </c>
      <c r="AB16" s="1">
        <v>3.6021800000000002</v>
      </c>
      <c r="AC16" s="1">
        <v>3.0698400000000001</v>
      </c>
      <c r="AD16" s="1">
        <v>2.60555</v>
      </c>
    </row>
    <row r="17" spans="1:30" x14ac:dyDescent="0.25">
      <c r="A17" t="s">
        <v>23</v>
      </c>
      <c r="B17" t="s">
        <v>22</v>
      </c>
      <c r="C17" s="3">
        <v>259.23928823261019</v>
      </c>
      <c r="D17" s="3">
        <f>10^(LOG($C17)+((LOG($F17)-LOG($C17))/(LOG($F$2)-LOG($C$2)))*(LOG(D$2)-LOG($C$2)))</f>
        <v>256.18280013314478</v>
      </c>
      <c r="E17" s="3">
        <f>10^(LOG($C17)+((LOG($F17)-LOG($C17))/(LOG($F$2)-LOG($C$2)))*(LOG(E$2)-LOG($C$2)))</f>
        <v>255.47586085609495</v>
      </c>
      <c r="F17" s="1">
        <v>255.172</v>
      </c>
      <c r="G17" s="1">
        <v>250.86199999999999</v>
      </c>
      <c r="H17" s="1">
        <v>245.25800000000001</v>
      </c>
      <c r="I17" s="1">
        <v>230.65600000000001</v>
      </c>
      <c r="J17" s="1">
        <v>212.285</v>
      </c>
      <c r="K17" s="1">
        <v>195.34100000000001</v>
      </c>
      <c r="L17" s="1">
        <v>182.215</v>
      </c>
      <c r="M17" s="1">
        <v>165.91</v>
      </c>
      <c r="N17" s="1">
        <v>156.928</v>
      </c>
      <c r="O17" s="1">
        <v>144.68799999999999</v>
      </c>
      <c r="P17" s="1">
        <v>134.88499999999999</v>
      </c>
      <c r="Q17" s="1">
        <v>100.264</v>
      </c>
      <c r="R17" s="1">
        <v>76.191299999999998</v>
      </c>
      <c r="S17" s="1">
        <v>61.4696</v>
      </c>
      <c r="T17" s="1">
        <v>51.6342</v>
      </c>
      <c r="U17" s="1">
        <v>39.613799999999998</v>
      </c>
      <c r="V17" s="1">
        <v>32.328899999999997</v>
      </c>
      <c r="W17" s="1">
        <v>22.6968</v>
      </c>
      <c r="X17" s="1">
        <v>17.7743</v>
      </c>
      <c r="Y17" s="1">
        <v>12.7575</v>
      </c>
      <c r="Z17" s="1">
        <v>10.122299999999999</v>
      </c>
      <c r="AA17" s="1">
        <v>8.4792100000000001</v>
      </c>
      <c r="AB17" s="1">
        <v>7.3622199999999998</v>
      </c>
      <c r="AC17" s="1">
        <v>5.8734799999999998</v>
      </c>
      <c r="AD17" s="1">
        <v>4.8551000000000002</v>
      </c>
    </row>
    <row r="18" spans="1:30" x14ac:dyDescent="0.25">
      <c r="C18" s="3"/>
      <c r="D18" s="3"/>
      <c r="E18" s="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25">
      <c r="C19" s="3"/>
      <c r="D19" s="3"/>
      <c r="E19" s="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25">
      <c r="C20" s="3"/>
      <c r="D20" s="3"/>
      <c r="E20" s="3"/>
    </row>
    <row r="21" spans="1:30" x14ac:dyDescent="0.25">
      <c r="C21" s="3"/>
      <c r="D21" s="3"/>
      <c r="E21" s="3"/>
      <c r="F21" s="1"/>
      <c r="G21" s="1"/>
      <c r="X21" s="1"/>
      <c r="Y21" s="1"/>
      <c r="Z21" s="1"/>
      <c r="AA21" s="1"/>
      <c r="AB21" s="1"/>
      <c r="AC21" s="1"/>
      <c r="AD21" s="1"/>
    </row>
    <row r="22" spans="1:30" x14ac:dyDescent="0.25">
      <c r="C22" s="3"/>
      <c r="D22" s="3"/>
      <c r="E22" s="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5">
      <c r="C23" s="3"/>
      <c r="D23" s="3"/>
      <c r="E23" s="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5">
      <c r="C24" s="3"/>
      <c r="D24" s="3"/>
      <c r="E24" s="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C25" s="3"/>
      <c r="D25" s="3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C26" s="3"/>
      <c r="D26" s="3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C27" s="3"/>
      <c r="D27" s="3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C28" s="3"/>
      <c r="D28" s="3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C29" s="3"/>
      <c r="D29" s="3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C30" s="3"/>
      <c r="D30" s="3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C31" s="3"/>
      <c r="D31" s="3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5">
      <c r="C32" s="3"/>
      <c r="D32" s="3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</sheetData>
  <mergeCells count="3">
    <mergeCell ref="C1:AD1"/>
    <mergeCell ref="B1:B2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A422-1FFD-4EBA-BB21-C287D5BB306A}">
  <dimension ref="A1:AD30"/>
  <sheetViews>
    <sheetView tabSelected="1" zoomScaleNormal="100" workbookViewId="0">
      <pane xSplit="2" ySplit="2" topLeftCell="C3" activePane="bottomRight" state="frozen"/>
      <selection activeCell="J33" sqref="J33"/>
      <selection pane="topRight" activeCell="J33" sqref="J33"/>
      <selection pane="bottomLeft" activeCell="J33" sqref="J33"/>
      <selection pane="bottomRight" activeCell="O6" sqref="O6"/>
    </sheetView>
  </sheetViews>
  <sheetFormatPr defaultRowHeight="15" x14ac:dyDescent="0.25"/>
  <cols>
    <col min="1" max="2" width="12.140625" bestFit="1" customWidth="1"/>
    <col min="3" max="30" width="8.7109375" customWidth="1"/>
  </cols>
  <sheetData>
    <row r="1" spans="1:30" x14ac:dyDescent="0.25">
      <c r="A1" s="6" t="s">
        <v>0</v>
      </c>
      <c r="B1" s="6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5"/>
    </row>
    <row r="2" spans="1:30" x14ac:dyDescent="0.25">
      <c r="A2" s="7"/>
      <c r="B2" s="7"/>
      <c r="C2" s="2">
        <v>9.9999999999999995E-7</v>
      </c>
      <c r="D2" s="2">
        <v>1E-3</v>
      </c>
      <c r="E2" s="2">
        <v>5.0000000000000001E-3</v>
      </c>
      <c r="F2" s="2">
        <v>0.01</v>
      </c>
      <c r="G2" s="2">
        <v>1.4999999999999999E-2</v>
      </c>
      <c r="H2" s="2">
        <v>0.02</v>
      </c>
      <c r="I2" s="2">
        <v>0.03</v>
      </c>
      <c r="J2" s="2">
        <v>0.04</v>
      </c>
      <c r="K2" s="2">
        <v>0.05</v>
      </c>
      <c r="L2" s="2">
        <v>0.06</v>
      </c>
      <c r="M2" s="2">
        <v>0.08</v>
      </c>
      <c r="N2" s="2">
        <v>0.1</v>
      </c>
      <c r="O2" s="2">
        <v>0.15</v>
      </c>
      <c r="P2" s="2">
        <v>0.2</v>
      </c>
      <c r="Q2" s="2">
        <v>0.3</v>
      </c>
      <c r="R2" s="2">
        <v>0.4</v>
      </c>
      <c r="S2" s="2">
        <v>0.5</v>
      </c>
      <c r="T2" s="2">
        <v>0.6</v>
      </c>
      <c r="U2" s="2">
        <v>0.8</v>
      </c>
      <c r="V2" s="2">
        <v>1</v>
      </c>
      <c r="W2" s="2">
        <v>1.5</v>
      </c>
      <c r="X2" s="2">
        <v>2</v>
      </c>
      <c r="Y2" s="2">
        <v>3</v>
      </c>
      <c r="Z2" s="2">
        <v>4</v>
      </c>
      <c r="AA2" s="2">
        <v>5</v>
      </c>
      <c r="AB2" s="2">
        <v>6</v>
      </c>
      <c r="AC2" s="2">
        <v>8</v>
      </c>
      <c r="AD2" s="2">
        <v>10</v>
      </c>
    </row>
    <row r="3" spans="1:30" x14ac:dyDescent="0.25">
      <c r="A3" t="s">
        <v>24</v>
      </c>
      <c r="B3" t="s">
        <v>3</v>
      </c>
      <c r="C3" s="3">
        <v>9.9999999999999998E-13</v>
      </c>
      <c r="D3" s="3">
        <f>10^(LOG($C3)+((LOG($G3)-LOG($C3))/(LOG($G$2)-LOG($C$2)))*(LOG(D$2)-LOG($C$2)))</f>
        <v>1.145224304434917E-6</v>
      </c>
      <c r="E3" s="3">
        <f>10^(LOG($C3)+((LOG($G3)-LOG($C3))/(LOG($G$2)-LOG($C$2)))*(LOG(E$2)-LOG($C$2)))</f>
        <v>2.9549591105668263E-5</v>
      </c>
      <c r="F3" s="3">
        <f>10^(LOG($C3)+((LOG($G3)-LOG($C3))/(LOG($G$2)-LOG($C$2)))*(LOG(F$2)-LOG($C$2)))</f>
        <v>1.1981763459913741E-4</v>
      </c>
      <c r="G3" s="1">
        <v>2.7174399999999998E-4</v>
      </c>
      <c r="H3" s="1">
        <v>4.7714300000000002E-4</v>
      </c>
      <c r="I3" s="1">
        <v>8.12468E-4</v>
      </c>
      <c r="J3" s="1">
        <v>9.5020100000000002E-4</v>
      </c>
      <c r="K3" s="1">
        <v>1.2287800000000001E-3</v>
      </c>
      <c r="L3" s="1">
        <v>1.3302100000000001E-3</v>
      </c>
      <c r="M3" s="1">
        <v>1.6004400000000001E-3</v>
      </c>
      <c r="N3" s="1">
        <v>1.9506599999999999E-3</v>
      </c>
      <c r="O3" s="1">
        <v>0.42011999999999999</v>
      </c>
      <c r="P3" s="1">
        <v>2.1412200000000001</v>
      </c>
      <c r="Q3" s="1">
        <v>4.7986899999999997</v>
      </c>
      <c r="R3" s="1">
        <v>6.0619800000000001</v>
      </c>
      <c r="S3" s="1">
        <v>6.8358299999999996</v>
      </c>
      <c r="T3" s="1">
        <v>7.2801799999999997</v>
      </c>
      <c r="U3" s="1">
        <v>7.7817600000000002</v>
      </c>
      <c r="V3" s="1">
        <v>7.9852299999999996</v>
      </c>
      <c r="W3" s="1">
        <v>8.1567799999999995</v>
      </c>
      <c r="X3" s="1">
        <v>8.0409600000000001</v>
      </c>
      <c r="Y3" s="1">
        <v>7.5273199999999996</v>
      </c>
      <c r="Z3" s="1">
        <v>6.9488000000000003</v>
      </c>
      <c r="AA3" s="1">
        <v>6.3248699999999998</v>
      </c>
      <c r="AB3" s="1">
        <v>5.7625700000000002</v>
      </c>
      <c r="AC3" s="1">
        <v>4.76654</v>
      </c>
      <c r="AD3" s="1">
        <v>3.9590299999999998</v>
      </c>
    </row>
    <row r="4" spans="1:30" x14ac:dyDescent="0.25">
      <c r="A4" t="s">
        <v>4</v>
      </c>
      <c r="B4" t="s">
        <v>3</v>
      </c>
      <c r="C4" s="3">
        <v>9.9999999999999998E-13</v>
      </c>
      <c r="D4" s="3">
        <f>10^(LOG($C4)+((LOG($F4)-LOG($C4))/(LOG($F$2)-LOG($C$2)))*(LOG(D$2)-LOG($C$2)))</f>
        <v>6.2416112103451425E-6</v>
      </c>
      <c r="E4" s="3">
        <f>10^(LOG($C4)+((LOG($F4)-LOG($C4))/(LOG($F$2)-LOG($C$2)))*(LOG(E$2)-LOG($C$2)))</f>
        <v>2.3907430612019455E-4</v>
      </c>
      <c r="F4" s="1">
        <v>1.1492E-3</v>
      </c>
      <c r="G4" s="1">
        <v>4.4082699999999997E-3</v>
      </c>
      <c r="H4" s="1">
        <v>3.8566500000000001E-3</v>
      </c>
      <c r="I4" s="1">
        <v>3.9601000000000003E-3</v>
      </c>
      <c r="J4" s="1">
        <v>4.0725900000000001E-3</v>
      </c>
      <c r="K4" s="1">
        <v>6.1280800000000002E-3</v>
      </c>
      <c r="L4" s="1">
        <v>5.5128499999999997E-3</v>
      </c>
      <c r="M4" s="1">
        <v>6.3962100000000003E-3</v>
      </c>
      <c r="N4" s="1">
        <v>1.04382E-2</v>
      </c>
      <c r="O4" s="1">
        <v>30.945499999999999</v>
      </c>
      <c r="P4" s="1">
        <v>54.260100000000001</v>
      </c>
      <c r="Q4" s="1">
        <v>47.479199999999999</v>
      </c>
      <c r="R4" s="1">
        <v>38.526699999999998</v>
      </c>
      <c r="S4" s="1">
        <v>32.456000000000003</v>
      </c>
      <c r="T4" s="1">
        <v>27.866599999999998</v>
      </c>
      <c r="U4" s="1">
        <v>22.015699999999999</v>
      </c>
      <c r="V4" s="1">
        <v>18.0137</v>
      </c>
      <c r="W4" s="1">
        <v>12.5372</v>
      </c>
      <c r="X4" s="1">
        <v>9.8609299999999998</v>
      </c>
      <c r="Y4" s="1">
        <v>7.0789299999999997</v>
      </c>
      <c r="Z4" s="1">
        <v>5.7788399999999998</v>
      </c>
      <c r="AA4" s="1">
        <v>5.04338</v>
      </c>
      <c r="AB4" s="1">
        <v>4.4453899999999997</v>
      </c>
      <c r="AC4" s="1">
        <v>3.7009699999999999</v>
      </c>
      <c r="AD4" s="1">
        <v>3.20478</v>
      </c>
    </row>
    <row r="5" spans="1:30" x14ac:dyDescent="0.25">
      <c r="A5" t="s">
        <v>5</v>
      </c>
      <c r="B5" t="s">
        <v>6</v>
      </c>
      <c r="C5" s="3">
        <v>9.9999999999999998E-13</v>
      </c>
      <c r="D5" s="3">
        <f>10^(LOG($C5)+((LOG($G5)-LOG($C5))/(LOG($G$2)-LOG($C$2)))*(LOG(D$2)-LOG($C$2)))</f>
        <v>1.8271597821692646E-6</v>
      </c>
      <c r="E5" s="3">
        <f>10^(LOG($C5)+((LOG($G5)-LOG($C5))/(LOG($G$2)-LOG($C$2)))*(LOG(E$2)-LOG($C$2)))</f>
        <v>5.2566353286787016E-5</v>
      </c>
      <c r="F5" s="3">
        <f>10^(LOG($C5)+((LOG($G5)-LOG($C5))/(LOG($G$2)-LOG($C$2)))*(LOG(F$2)-LOG($C$2)))</f>
        <v>2.2337541368627653E-4</v>
      </c>
      <c r="G5" s="1">
        <v>5.2069500000000006E-4</v>
      </c>
      <c r="H5" s="1">
        <v>8.4483099999999999E-4</v>
      </c>
      <c r="I5" s="1">
        <v>1.3230200000000001E-3</v>
      </c>
      <c r="J5" s="1">
        <v>1.5644400000000001E-3</v>
      </c>
      <c r="K5" s="1">
        <v>1.89964E-3</v>
      </c>
      <c r="L5" s="1">
        <v>2.0417999999999999E-3</v>
      </c>
      <c r="M5" s="1">
        <v>2.6378500000000002E-3</v>
      </c>
      <c r="N5" s="1">
        <v>2.9528100000000002E-3</v>
      </c>
      <c r="O5" s="1">
        <v>0.68918699999999999</v>
      </c>
      <c r="P5" s="1">
        <v>4.33528</v>
      </c>
      <c r="Q5" s="1">
        <v>10.2094</v>
      </c>
      <c r="R5" s="1">
        <v>13.193300000000001</v>
      </c>
      <c r="S5" s="1">
        <v>14.817500000000001</v>
      </c>
      <c r="T5" s="1">
        <v>15.7651</v>
      </c>
      <c r="U5" s="1">
        <v>16.656700000000001</v>
      </c>
      <c r="V5" s="1">
        <v>16.834499999999998</v>
      </c>
      <c r="W5" s="1">
        <v>15.9305</v>
      </c>
      <c r="X5" s="1">
        <v>14.242900000000001</v>
      </c>
      <c r="Y5" s="1">
        <v>10.9536</v>
      </c>
      <c r="Z5" s="1">
        <v>8.5601000000000003</v>
      </c>
      <c r="AA5" s="1">
        <v>6.9488500000000002</v>
      </c>
      <c r="AB5" s="1">
        <v>5.8527399999999998</v>
      </c>
      <c r="AC5" s="1">
        <v>4.4464499999999996</v>
      </c>
      <c r="AD5" s="1">
        <v>3.5892599999999999</v>
      </c>
    </row>
    <row r="6" spans="1:30" x14ac:dyDescent="0.25">
      <c r="A6" t="s">
        <v>7</v>
      </c>
      <c r="B6" t="s">
        <v>6</v>
      </c>
      <c r="C6" s="3">
        <v>9.9999999999999998E-13</v>
      </c>
      <c r="D6" s="3">
        <f t="shared" ref="D6:E10" si="0">10^(LOG($C6)+((LOG($F6)-LOG($C6))/(LOG($F$2)-LOG($C$2)))*(LOG(D$2)-LOG($C$2)))</f>
        <v>9.3946083342774835E-6</v>
      </c>
      <c r="E6" s="3">
        <f t="shared" si="0"/>
        <v>3.9581267039878748E-4</v>
      </c>
      <c r="F6" s="1">
        <v>1.9823100000000001E-3</v>
      </c>
      <c r="G6" s="1">
        <v>3.1774899999999998E-3</v>
      </c>
      <c r="H6" s="1">
        <v>4.3347699999999999E-3</v>
      </c>
      <c r="I6" s="1">
        <v>5.8302099999999997E-3</v>
      </c>
      <c r="J6" s="1">
        <v>7.1528199999999998E-3</v>
      </c>
      <c r="K6" s="1">
        <v>7.6372699999999998E-3</v>
      </c>
      <c r="L6" s="1">
        <v>9.0153999999999998E-3</v>
      </c>
      <c r="M6" s="1">
        <v>1.6189200000000001E-2</v>
      </c>
      <c r="N6" s="1">
        <v>7.3832999999999996E-2</v>
      </c>
      <c r="O6" s="1">
        <v>50.703200000000002</v>
      </c>
      <c r="P6" s="1">
        <v>104.622</v>
      </c>
      <c r="Q6" s="1">
        <v>91.054000000000002</v>
      </c>
      <c r="R6" s="1">
        <v>75.722399999999993</v>
      </c>
      <c r="S6" s="1">
        <v>63.734499999999997</v>
      </c>
      <c r="T6" s="1">
        <v>56.154000000000003</v>
      </c>
      <c r="U6" s="1">
        <v>46.080500000000001</v>
      </c>
      <c r="V6" s="1">
        <v>38.786000000000001</v>
      </c>
      <c r="W6" s="1">
        <v>27.6861</v>
      </c>
      <c r="X6" s="1">
        <v>21.464500000000001</v>
      </c>
      <c r="Y6" s="1">
        <v>16.016400000000001</v>
      </c>
      <c r="Z6" s="1">
        <v>12.1356</v>
      </c>
      <c r="AA6" s="1">
        <v>9.7901799999999994</v>
      </c>
      <c r="AB6" s="1">
        <v>8.1745699999999992</v>
      </c>
      <c r="AC6" s="1">
        <v>6.2734800000000002</v>
      </c>
      <c r="AD6" s="1">
        <v>4.96671</v>
      </c>
    </row>
    <row r="7" spans="1:30" x14ac:dyDescent="0.25">
      <c r="A7" t="s">
        <v>8</v>
      </c>
      <c r="B7" t="s">
        <v>9</v>
      </c>
      <c r="C7" s="3">
        <v>9.9999999999999998E-13</v>
      </c>
      <c r="D7" s="3">
        <f t="shared" si="0"/>
        <v>5.5645811711159404E-7</v>
      </c>
      <c r="E7" s="3">
        <f t="shared" si="0"/>
        <v>1.2135587449714695E-5</v>
      </c>
      <c r="F7" s="1">
        <v>4.576955E-5</v>
      </c>
      <c r="G7" s="1">
        <v>9.7740799999999998E-5</v>
      </c>
      <c r="H7" s="1">
        <v>1.6721600000000001E-4</v>
      </c>
      <c r="I7" s="1">
        <v>2.6144599999999998E-4</v>
      </c>
      <c r="J7" s="1">
        <v>3.4118400000000002E-4</v>
      </c>
      <c r="K7" s="1">
        <v>3.9084800000000001E-4</v>
      </c>
      <c r="L7" s="1">
        <v>5.0841999999999999E-4</v>
      </c>
      <c r="M7" s="1">
        <v>4.2023600000000001E-2</v>
      </c>
      <c r="N7" s="1">
        <v>0.29019200000000001</v>
      </c>
      <c r="O7" s="1">
        <v>1.0304199999999999</v>
      </c>
      <c r="P7" s="1">
        <v>1.5277700000000001</v>
      </c>
      <c r="Q7" s="1">
        <v>1.94278</v>
      </c>
      <c r="R7" s="1">
        <v>2.1713800000000001</v>
      </c>
      <c r="S7" s="1">
        <v>2.2889499999999998</v>
      </c>
      <c r="T7" s="1">
        <v>2.35053</v>
      </c>
      <c r="U7" s="1">
        <v>2.4276</v>
      </c>
      <c r="V7" s="1">
        <v>2.4740000000000002</v>
      </c>
      <c r="W7" s="1">
        <v>2.4679700000000002</v>
      </c>
      <c r="X7" s="1">
        <v>2.4477199999999999</v>
      </c>
      <c r="Y7" s="1">
        <v>2.3604699999999998</v>
      </c>
      <c r="Z7" s="1">
        <v>2.2487699999999999</v>
      </c>
      <c r="AA7" s="1">
        <v>2.1359400000000002</v>
      </c>
      <c r="AB7" s="1">
        <v>2.02454</v>
      </c>
      <c r="AC7" s="1">
        <v>1.76783</v>
      </c>
      <c r="AD7" s="1">
        <v>1.52729</v>
      </c>
    </row>
    <row r="8" spans="1:30" x14ac:dyDescent="0.25">
      <c r="A8" t="s">
        <v>10</v>
      </c>
      <c r="B8" t="s">
        <v>9</v>
      </c>
      <c r="C8" s="3">
        <v>149.49761327060412</v>
      </c>
      <c r="D8" s="3">
        <f t="shared" si="0"/>
        <v>149.50540324999898</v>
      </c>
      <c r="E8" s="3">
        <f t="shared" si="0"/>
        <v>149.50721829561348</v>
      </c>
      <c r="F8" s="1">
        <v>149.50800000000001</v>
      </c>
      <c r="G8" s="1">
        <v>149.51</v>
      </c>
      <c r="H8" s="1">
        <v>149.49299999999999</v>
      </c>
      <c r="I8" s="1">
        <v>149.47999999999999</v>
      </c>
      <c r="J8" s="1">
        <v>149.44800000000001</v>
      </c>
      <c r="K8" s="1">
        <v>149.488</v>
      </c>
      <c r="L8" s="1">
        <v>149.482</v>
      </c>
      <c r="M8" s="1">
        <v>148.34399999999999</v>
      </c>
      <c r="N8" s="1">
        <v>141.917</v>
      </c>
      <c r="O8" s="1">
        <v>121.16</v>
      </c>
      <c r="P8" s="1">
        <v>99.156300000000002</v>
      </c>
      <c r="Q8" s="1">
        <v>66.965199999999996</v>
      </c>
      <c r="R8" s="1">
        <v>49.822400000000002</v>
      </c>
      <c r="S8" s="1">
        <v>39.815899999999999</v>
      </c>
      <c r="T8" s="1">
        <v>33.316499999999998</v>
      </c>
      <c r="U8" s="1">
        <v>25.229500000000002</v>
      </c>
      <c r="V8" s="1">
        <v>20.467199999999998</v>
      </c>
      <c r="W8" s="1">
        <v>14.220700000000001</v>
      </c>
      <c r="X8" s="1">
        <v>11.1226</v>
      </c>
      <c r="Y8" s="1">
        <v>7.8954300000000002</v>
      </c>
      <c r="Z8" s="1">
        <v>6.2631500000000004</v>
      </c>
      <c r="AA8" s="1">
        <v>5.2245799999999996</v>
      </c>
      <c r="AB8" s="1">
        <v>4.5272600000000001</v>
      </c>
      <c r="AC8" s="1">
        <v>3.61029</v>
      </c>
      <c r="AD8" s="1">
        <v>2.9993799999999999</v>
      </c>
    </row>
    <row r="9" spans="1:30" x14ac:dyDescent="0.25">
      <c r="A9" t="s">
        <v>11</v>
      </c>
      <c r="B9" t="s">
        <v>12</v>
      </c>
      <c r="C9" s="3">
        <v>9.9999999999999998E-13</v>
      </c>
      <c r="D9" s="3">
        <f t="shared" si="0"/>
        <v>3.1218362501755126E-7</v>
      </c>
      <c r="E9" s="3">
        <f t="shared" si="0"/>
        <v>5.9504901534217032E-6</v>
      </c>
      <c r="F9" s="1">
        <v>2.1177766666666666E-5</v>
      </c>
      <c r="G9" s="1">
        <v>5.2110100000000001E-5</v>
      </c>
      <c r="H9" s="1">
        <v>7.4049199999999996E-5</v>
      </c>
      <c r="I9" s="1">
        <v>1.4009800000000001E-4</v>
      </c>
      <c r="J9" s="1">
        <v>1.6146500000000001E-4</v>
      </c>
      <c r="K9" s="1">
        <v>1.83492E-4</v>
      </c>
      <c r="L9" s="1">
        <v>2.2155699999999999E-4</v>
      </c>
      <c r="M9" s="1">
        <v>2.87793E-4</v>
      </c>
      <c r="N9" s="1">
        <v>1.6438399999999999E-3</v>
      </c>
      <c r="O9" s="1">
        <v>0.24526000000000001</v>
      </c>
      <c r="P9" s="1">
        <v>0.60065100000000005</v>
      </c>
      <c r="Q9" s="1">
        <v>1.0090699999999999</v>
      </c>
      <c r="R9" s="1">
        <v>1.20469</v>
      </c>
      <c r="S9" s="1">
        <v>1.30901</v>
      </c>
      <c r="T9" s="1">
        <v>1.3692200000000001</v>
      </c>
      <c r="U9" s="1">
        <v>1.41699</v>
      </c>
      <c r="V9" s="1">
        <v>1.4226300000000001</v>
      </c>
      <c r="W9" s="1">
        <v>1.3671800000000001</v>
      </c>
      <c r="X9" s="1">
        <v>1.26878</v>
      </c>
      <c r="Y9" s="1">
        <v>1.0808800000000001</v>
      </c>
      <c r="Z9" s="1">
        <v>0.93367599999999995</v>
      </c>
      <c r="AA9" s="1">
        <v>0.82565200000000005</v>
      </c>
      <c r="AB9" s="1">
        <v>0.74567899999999998</v>
      </c>
      <c r="AC9" s="1">
        <v>0.63061299999999998</v>
      </c>
      <c r="AD9" s="1">
        <v>0.55093000000000003</v>
      </c>
    </row>
    <row r="10" spans="1:30" x14ac:dyDescent="0.25">
      <c r="A10" t="s">
        <v>14</v>
      </c>
      <c r="B10" t="s">
        <v>12</v>
      </c>
      <c r="C10" s="3">
        <v>50.94347312222358</v>
      </c>
      <c r="D10" s="3">
        <f t="shared" si="0"/>
        <v>50.940643254356139</v>
      </c>
      <c r="E10" s="3">
        <f t="shared" si="0"/>
        <v>50.939983946017215</v>
      </c>
      <c r="F10" s="1">
        <v>50.939700000000002</v>
      </c>
      <c r="G10" s="1">
        <v>50.942900000000002</v>
      </c>
      <c r="H10" s="1">
        <v>50.952800000000003</v>
      </c>
      <c r="I10" s="1">
        <v>50.934800000000003</v>
      </c>
      <c r="J10" s="1">
        <v>50.927700000000002</v>
      </c>
      <c r="K10" s="1">
        <v>50.935699999999997</v>
      </c>
      <c r="L10" s="1">
        <v>50.875</v>
      </c>
      <c r="M10" s="1">
        <v>49.051600000000001</v>
      </c>
      <c r="N10" s="1">
        <v>45.241</v>
      </c>
      <c r="O10" s="1">
        <v>35.020600000000002</v>
      </c>
      <c r="P10" s="1">
        <v>26.262</v>
      </c>
      <c r="Q10" s="1">
        <v>16.928000000000001</v>
      </c>
      <c r="R10" s="1">
        <v>12.4856</v>
      </c>
      <c r="S10" s="1">
        <v>9.9319100000000002</v>
      </c>
      <c r="T10" s="1">
        <v>8.2827900000000003</v>
      </c>
      <c r="U10" s="1">
        <v>6.2284499999999996</v>
      </c>
      <c r="V10" s="1">
        <v>5.0576400000000001</v>
      </c>
      <c r="W10" s="1">
        <v>3.5554299999999999</v>
      </c>
      <c r="X10" s="1">
        <v>2.8129</v>
      </c>
      <c r="Y10" s="1">
        <v>2.0570400000000002</v>
      </c>
      <c r="Z10" s="1">
        <v>1.6633899999999999</v>
      </c>
      <c r="AA10" s="1">
        <v>1.40448</v>
      </c>
      <c r="AB10" s="1">
        <v>1.2276100000000001</v>
      </c>
      <c r="AC10" s="1">
        <v>0.99439299999999997</v>
      </c>
      <c r="AD10" s="1">
        <v>0.84272899999999995</v>
      </c>
    </row>
    <row r="11" spans="1:30" x14ac:dyDescent="0.25">
      <c r="A11" t="s">
        <v>13</v>
      </c>
      <c r="B11" t="s">
        <v>12</v>
      </c>
      <c r="C11" s="3">
        <v>9.9999999999999998E-13</v>
      </c>
      <c r="D11" s="3">
        <f t="shared" ref="D11:F12" si="1">10^(LOG($C11)+((LOG($G11)-LOG($C11))/(LOG($G$2)-LOG($C$2)))*(LOG(D$2)-LOG($C$2)))</f>
        <v>1.8983021860757541E-7</v>
      </c>
      <c r="E11" s="3">
        <f t="shared" si="1"/>
        <v>3.2223424894400619E-6</v>
      </c>
      <c r="F11" s="3">
        <f t="shared" si="1"/>
        <v>1.0909892311900688E-5</v>
      </c>
      <c r="G11" s="1">
        <v>2.226615E-5</v>
      </c>
      <c r="H11" s="1">
        <v>4.2339599999999997E-5</v>
      </c>
      <c r="I11" s="1">
        <v>6.5664400000000001E-5</v>
      </c>
      <c r="J11" s="1">
        <v>1.12897E-4</v>
      </c>
      <c r="K11" s="1">
        <v>1.37644E-4</v>
      </c>
      <c r="L11" s="1">
        <v>1.4252000000000001E-4</v>
      </c>
      <c r="M11" s="1">
        <v>1.7572E-4</v>
      </c>
      <c r="N11" s="1">
        <v>2.1324700000000001E-4</v>
      </c>
      <c r="O11" s="1">
        <v>2.6350100000000002E-4</v>
      </c>
      <c r="P11" s="1">
        <v>3.4558700000000001E-4</v>
      </c>
      <c r="Q11" s="1">
        <v>2.5279800000000002E-2</v>
      </c>
      <c r="R11" s="1">
        <v>0.25909300000000002</v>
      </c>
      <c r="S11" s="1">
        <v>0.51372200000000001</v>
      </c>
      <c r="T11" s="1">
        <v>0.71180399999999999</v>
      </c>
      <c r="U11" s="1">
        <v>0.95826</v>
      </c>
      <c r="V11" s="1">
        <v>1.08114</v>
      </c>
      <c r="W11" s="1">
        <v>1.17482</v>
      </c>
      <c r="X11" s="1">
        <v>1.14357</v>
      </c>
      <c r="Y11" s="1">
        <v>1.0029600000000001</v>
      </c>
      <c r="Z11" s="1">
        <v>0.87550799999999995</v>
      </c>
      <c r="AA11" s="1">
        <v>0.78183899999999995</v>
      </c>
      <c r="AB11" s="1">
        <v>0.706735</v>
      </c>
      <c r="AC11" s="1">
        <v>0.60342099999999999</v>
      </c>
      <c r="AD11" s="1">
        <v>0.52790199999999998</v>
      </c>
    </row>
    <row r="12" spans="1:30" x14ac:dyDescent="0.25">
      <c r="A12" t="s">
        <v>15</v>
      </c>
      <c r="B12" t="s">
        <v>16</v>
      </c>
      <c r="C12" s="3">
        <v>9.9999999999999998E-13</v>
      </c>
      <c r="D12" s="3">
        <f t="shared" si="1"/>
        <v>4.3337672596966057E-7</v>
      </c>
      <c r="E12" s="3">
        <f t="shared" si="1"/>
        <v>8.91659220553215E-6</v>
      </c>
      <c r="F12" s="3">
        <f t="shared" si="1"/>
        <v>3.2795992547862164E-5</v>
      </c>
      <c r="G12" s="1">
        <v>7.0256800000000001E-5</v>
      </c>
      <c r="H12" s="1">
        <v>1.2094700000000001E-4</v>
      </c>
      <c r="I12" s="1">
        <v>2.2187699999999999E-4</v>
      </c>
      <c r="J12" s="1">
        <v>2.9470100000000002E-4</v>
      </c>
      <c r="K12" s="1">
        <v>3.6680399999999998E-4</v>
      </c>
      <c r="L12" s="1">
        <v>4.2222000000000001E-4</v>
      </c>
      <c r="M12" s="1">
        <v>5.1050599999999998E-4</v>
      </c>
      <c r="N12" s="1">
        <v>5.6196100000000004E-4</v>
      </c>
      <c r="O12" s="1">
        <v>9.9132100000000009E-4</v>
      </c>
      <c r="P12" s="1">
        <v>0.14901200000000001</v>
      </c>
      <c r="Q12" s="1">
        <v>0.99196300000000004</v>
      </c>
      <c r="R12" s="1">
        <v>1.55768</v>
      </c>
      <c r="S12" s="1">
        <v>1.9451700000000001</v>
      </c>
      <c r="T12" s="1">
        <v>2.1863899999999998</v>
      </c>
      <c r="U12" s="1">
        <v>2.4921799999999998</v>
      </c>
      <c r="V12" s="1">
        <v>2.6835399999999998</v>
      </c>
      <c r="W12" s="1">
        <v>2.8571599999999999</v>
      </c>
      <c r="X12" s="1">
        <v>2.81379</v>
      </c>
      <c r="Y12" s="1">
        <v>2.6703399999999999</v>
      </c>
      <c r="Z12" s="1">
        <v>2.4702299999999999</v>
      </c>
      <c r="AA12" s="1">
        <v>2.2596799999999999</v>
      </c>
      <c r="AB12" s="1">
        <v>2.0621299999999998</v>
      </c>
      <c r="AC12" s="1">
        <v>1.72855</v>
      </c>
      <c r="AD12" s="1">
        <v>1.47004</v>
      </c>
    </row>
    <row r="13" spans="1:30" x14ac:dyDescent="0.25">
      <c r="A13" t="s">
        <v>17</v>
      </c>
      <c r="B13" t="s">
        <v>16</v>
      </c>
      <c r="C13" s="3">
        <v>124.40286624203824</v>
      </c>
      <c r="D13" s="3">
        <f>10^(LOG($C13)+((LOG($F13)-LOG($C13))/(LOG($F$2)-LOG($C$2)))*(LOG(D$2)-LOG($C$2)))</f>
        <v>122.95941793601277</v>
      </c>
      <c r="E13" s="3">
        <f>10^(LOG($C13)+((LOG($F13)-LOG($C13))/(LOG($F$2)-LOG($C$2)))*(LOG(E$2)-LOG($C$2)))</f>
        <v>122.6255217724155</v>
      </c>
      <c r="F13" s="1">
        <v>122.482</v>
      </c>
      <c r="G13" s="1">
        <v>120.447</v>
      </c>
      <c r="H13" s="1">
        <v>117.73399999999999</v>
      </c>
      <c r="I13" s="1">
        <v>110.539</v>
      </c>
      <c r="J13" s="1">
        <v>101.35</v>
      </c>
      <c r="K13" s="1">
        <v>92.811199999999999</v>
      </c>
      <c r="L13" s="1">
        <v>86.447900000000004</v>
      </c>
      <c r="M13" s="1">
        <v>78.452799999999996</v>
      </c>
      <c r="N13" s="1">
        <v>73.851699999999994</v>
      </c>
      <c r="O13" s="1">
        <v>68.646799999999999</v>
      </c>
      <c r="P13" s="1">
        <v>64.027799999999999</v>
      </c>
      <c r="Q13" s="1">
        <v>47.790500000000002</v>
      </c>
      <c r="R13" s="1">
        <v>37.348300000000002</v>
      </c>
      <c r="S13" s="1">
        <v>30.933</v>
      </c>
      <c r="T13" s="1">
        <v>26.806799999999999</v>
      </c>
      <c r="U13" s="1">
        <v>21.155999999999999</v>
      </c>
      <c r="V13" s="1">
        <v>17.449300000000001</v>
      </c>
      <c r="W13" s="1">
        <v>12.058199999999999</v>
      </c>
      <c r="X13" s="1">
        <v>9.2393599999999996</v>
      </c>
      <c r="Y13" s="1">
        <v>6.6333500000000001</v>
      </c>
      <c r="Z13" s="1">
        <v>5.2726300000000004</v>
      </c>
      <c r="AA13" s="1">
        <v>4.4338499999999996</v>
      </c>
      <c r="AB13" s="1">
        <v>3.87059</v>
      </c>
      <c r="AC13" s="1">
        <v>3.08203</v>
      </c>
      <c r="AD13" s="1">
        <v>2.5530300000000001</v>
      </c>
    </row>
    <row r="14" spans="1:30" x14ac:dyDescent="0.25">
      <c r="A14" t="s">
        <v>18</v>
      </c>
      <c r="B14" t="s">
        <v>19</v>
      </c>
      <c r="C14" s="3">
        <v>9.9999999999999998E-13</v>
      </c>
      <c r="D14" s="3">
        <f>10^(LOG($C14)+((LOG($G14)-LOG($C14))/(LOG($G$2)-LOG($C$2)))*(LOG(D$2)-LOG($C$2)))</f>
        <v>6.9899340996934569E-7</v>
      </c>
      <c r="E14" s="3">
        <f>10^(LOG($C14)+((LOG($G14)-LOG($C14))/(LOG($G$2)-LOG($C$2)))*(LOG(E$2)-LOG($C$2)))</f>
        <v>1.6075958372266903E-5</v>
      </c>
      <c r="F14" s="3">
        <f>10^(LOG($C14)+((LOG($G14)-LOG($C14))/(LOG($G$2)-LOG($C$2)))*(LOG(F$2)-LOG($C$2)))</f>
        <v>6.2034141315767813E-5</v>
      </c>
      <c r="G14" s="1">
        <v>1.3667349999999998E-4</v>
      </c>
      <c r="H14" s="1">
        <v>2.2640900000000001E-4</v>
      </c>
      <c r="I14" s="1">
        <v>4.0892599999999999E-4</v>
      </c>
      <c r="J14" s="1">
        <v>5.02719E-4</v>
      </c>
      <c r="K14" s="1">
        <v>6.6326700000000004E-4</v>
      </c>
      <c r="L14" s="1">
        <v>7.3243400000000001E-4</v>
      </c>
      <c r="M14" s="1">
        <v>8.9004399999999999E-4</v>
      </c>
      <c r="N14" s="1">
        <v>9.5834399999999997E-4</v>
      </c>
      <c r="O14" s="1">
        <v>4.0532099999999998E-3</v>
      </c>
      <c r="P14" s="1">
        <v>0.31493399999999999</v>
      </c>
      <c r="Q14" s="1">
        <v>1.99797</v>
      </c>
      <c r="R14" s="1">
        <v>3.1221800000000002</v>
      </c>
      <c r="S14" s="1">
        <v>3.8635600000000001</v>
      </c>
      <c r="T14" s="1">
        <v>4.3269599999999997</v>
      </c>
      <c r="U14" s="1">
        <v>4.8775300000000001</v>
      </c>
      <c r="V14" s="1">
        <v>5.2383300000000004</v>
      </c>
      <c r="W14" s="1">
        <v>5.4443099999999998</v>
      </c>
      <c r="X14" s="1">
        <v>5.3219700000000003</v>
      </c>
      <c r="Y14" s="1">
        <v>4.8936000000000002</v>
      </c>
      <c r="Z14" s="1">
        <v>4.3110900000000001</v>
      </c>
      <c r="AA14" s="1">
        <v>3.71522</v>
      </c>
      <c r="AB14" s="1">
        <v>3.1760799999999998</v>
      </c>
      <c r="AC14" s="1">
        <v>2.4417200000000001</v>
      </c>
      <c r="AD14" s="1">
        <v>1.99241</v>
      </c>
    </row>
    <row r="15" spans="1:30" x14ac:dyDescent="0.25">
      <c r="A15" t="s">
        <v>20</v>
      </c>
      <c r="B15" t="s">
        <v>19</v>
      </c>
      <c r="C15" s="3">
        <v>180.55527970721153</v>
      </c>
      <c r="D15" s="3">
        <f>10^(LOG($C15)+((LOG($F15)-LOG($C15))/(LOG($F$2)-LOG($C$2)))*(LOG(D$2)-LOG($C$2)))</f>
        <v>178.44645415662848</v>
      </c>
      <c r="E15" s="3">
        <f>10^(LOG($C15)+((LOG($F15)-LOG($C15))/(LOG($F$2)-LOG($C$2)))*(LOG(E$2)-LOG($C$2)))</f>
        <v>177.95866734604294</v>
      </c>
      <c r="F15" s="1">
        <v>177.749</v>
      </c>
      <c r="G15" s="1">
        <v>174.73400000000001</v>
      </c>
      <c r="H15" s="1">
        <v>170.81200000000001</v>
      </c>
      <c r="I15" s="1">
        <v>160.316</v>
      </c>
      <c r="J15" s="1">
        <v>147.09100000000001</v>
      </c>
      <c r="K15" s="1">
        <v>134.614</v>
      </c>
      <c r="L15" s="1">
        <v>125.419</v>
      </c>
      <c r="M15" s="1">
        <v>114.11499999999999</v>
      </c>
      <c r="N15" s="1">
        <v>107.42</v>
      </c>
      <c r="O15" s="1">
        <v>99.641199999999998</v>
      </c>
      <c r="P15" s="1">
        <v>92.543300000000002</v>
      </c>
      <c r="Q15" s="1">
        <v>68.896699999999996</v>
      </c>
      <c r="R15" s="1">
        <v>53.747999999999998</v>
      </c>
      <c r="S15" s="1">
        <v>44.442300000000003</v>
      </c>
      <c r="T15" s="1">
        <v>38.410400000000003</v>
      </c>
      <c r="U15" s="1">
        <v>30.325800000000001</v>
      </c>
      <c r="V15" s="1">
        <v>24.949400000000001</v>
      </c>
      <c r="W15" s="1">
        <v>17.2288</v>
      </c>
      <c r="X15" s="1">
        <v>13.3507</v>
      </c>
      <c r="Y15" s="1">
        <v>9.5348699999999997</v>
      </c>
      <c r="Z15" s="1">
        <v>7.6280900000000003</v>
      </c>
      <c r="AA15" s="1">
        <v>6.4085900000000002</v>
      </c>
      <c r="AB15" s="1">
        <v>5.4623900000000001</v>
      </c>
      <c r="AC15" s="1">
        <v>4.1692999999999998</v>
      </c>
      <c r="AD15" s="1">
        <v>3.35351</v>
      </c>
    </row>
    <row r="16" spans="1:30" x14ac:dyDescent="0.25">
      <c r="A16" t="s">
        <v>21</v>
      </c>
      <c r="B16" t="s">
        <v>22</v>
      </c>
      <c r="C16" s="3">
        <v>9.9999999999999998E-13</v>
      </c>
      <c r="D16" s="3">
        <f>10^(LOG($C16)+((LOG($G16)-LOG($C16))/(LOG($G$2)-LOG($C$2)))*(LOG(D$2)-LOG($C$2)))</f>
        <v>6.8200985007106473E-7</v>
      </c>
      <c r="E16" s="3">
        <f>10^(LOG($C16)+((LOG($G16)-LOG($C16))/(LOG($G$2)-LOG($C$2)))*(LOG(E$2)-LOG($C$2)))</f>
        <v>1.5595723913217852E-5</v>
      </c>
      <c r="F16" s="3">
        <f>10^(LOG($C16)+((LOG($G16)-LOG($C16))/(LOG($G$2)-LOG($C$2)))*(LOG(F$2)-LOG($C$2)))</f>
        <v>6.0032652041487322E-5</v>
      </c>
      <c r="G16" s="1">
        <v>1.3207300000000002E-4</v>
      </c>
      <c r="H16" s="1">
        <v>2.1361399999999999E-4</v>
      </c>
      <c r="I16" s="1">
        <v>4.1390399999999999E-4</v>
      </c>
      <c r="J16" s="1">
        <v>5.1195600000000004E-4</v>
      </c>
      <c r="K16" s="1">
        <v>6.2495499999999995E-4</v>
      </c>
      <c r="L16" s="1">
        <v>7.2263600000000002E-4</v>
      </c>
      <c r="M16" s="1">
        <v>8.5849099999999996E-4</v>
      </c>
      <c r="N16" s="1">
        <v>9.3297200000000001E-4</v>
      </c>
      <c r="O16" s="1">
        <v>2.1153299999999999E-3</v>
      </c>
      <c r="P16" s="1">
        <v>0.31548900000000002</v>
      </c>
      <c r="Q16" s="1">
        <v>1.9646600000000001</v>
      </c>
      <c r="R16" s="1">
        <v>3.1492399999999998</v>
      </c>
      <c r="S16" s="1">
        <v>3.8238599999999998</v>
      </c>
      <c r="T16" s="1">
        <v>4.3022900000000002</v>
      </c>
      <c r="U16" s="1">
        <v>4.88924</v>
      </c>
      <c r="V16" s="1">
        <v>5.1566299999999998</v>
      </c>
      <c r="W16" s="1">
        <v>5.3167600000000004</v>
      </c>
      <c r="X16" s="1">
        <v>5.1668000000000003</v>
      </c>
      <c r="Y16" s="1">
        <v>4.6688200000000002</v>
      </c>
      <c r="Z16" s="1">
        <v>4.1653900000000004</v>
      </c>
      <c r="AA16" s="1">
        <v>3.69726</v>
      </c>
      <c r="AB16" s="1">
        <v>3.24729</v>
      </c>
      <c r="AC16" s="1">
        <v>2.5600700000000001</v>
      </c>
      <c r="AD16" s="1">
        <v>2.1059299999999999</v>
      </c>
    </row>
    <row r="17" spans="1:30" x14ac:dyDescent="0.25">
      <c r="A17" t="s">
        <v>23</v>
      </c>
      <c r="B17" t="s">
        <v>22</v>
      </c>
      <c r="C17" s="3">
        <v>187.0256561795147</v>
      </c>
      <c r="D17" s="3">
        <f>10^(LOG($C17)+((LOG($F17)-LOG($C17))/(LOG($F$2)-LOG($C$2)))*(LOG(D$2)-LOG($C$2)))</f>
        <v>184.84742484779491</v>
      </c>
      <c r="E17" s="3">
        <f>10^(LOG($C17)+((LOG($F17)-LOG($C17))/(LOG($F$2)-LOG($C$2)))*(LOG(E$2)-LOG($C$2)))</f>
        <v>184.34357359399283</v>
      </c>
      <c r="F17" s="1">
        <v>184.12700000000001</v>
      </c>
      <c r="G17" s="1">
        <v>181.03</v>
      </c>
      <c r="H17" s="1">
        <v>176.94200000000001</v>
      </c>
      <c r="I17" s="1">
        <v>166.13900000000001</v>
      </c>
      <c r="J17" s="1">
        <v>152.43600000000001</v>
      </c>
      <c r="K17" s="1">
        <v>139.41499999999999</v>
      </c>
      <c r="L17" s="1">
        <v>129.947</v>
      </c>
      <c r="M17" s="1">
        <v>118.032</v>
      </c>
      <c r="N17" s="1">
        <v>111.01900000000001</v>
      </c>
      <c r="O17" s="1">
        <v>102.893</v>
      </c>
      <c r="P17" s="1">
        <v>95.842299999999994</v>
      </c>
      <c r="Q17" s="1">
        <v>71.162700000000001</v>
      </c>
      <c r="R17" s="1">
        <v>55.653300000000002</v>
      </c>
      <c r="S17" s="1">
        <v>46.133899999999997</v>
      </c>
      <c r="T17" s="1">
        <v>39.865200000000002</v>
      </c>
      <c r="U17" s="1">
        <v>31.3352</v>
      </c>
      <c r="V17" s="1">
        <v>25.804200000000002</v>
      </c>
      <c r="W17" s="1">
        <v>17.8781</v>
      </c>
      <c r="X17" s="1">
        <v>13.819699999999999</v>
      </c>
      <c r="Y17" s="1">
        <v>9.8238500000000002</v>
      </c>
      <c r="Z17" s="1">
        <v>7.7955699999999997</v>
      </c>
      <c r="AA17" s="1">
        <v>6.5564099999999996</v>
      </c>
      <c r="AB17" s="1">
        <v>5.6577599999999997</v>
      </c>
      <c r="AC17" s="1">
        <v>4.3961499999999996</v>
      </c>
      <c r="AD17" s="1">
        <v>3.5729199999999999</v>
      </c>
    </row>
    <row r="18" spans="1:30" x14ac:dyDescent="0.25">
      <c r="C18" s="3"/>
      <c r="D18" s="3"/>
      <c r="E18" s="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25">
      <c r="C19" s="3"/>
      <c r="D19" s="3"/>
      <c r="E19" s="3"/>
    </row>
    <row r="20" spans="1:30" x14ac:dyDescent="0.25">
      <c r="C20" s="3"/>
      <c r="D20" s="3"/>
      <c r="E20" s="3"/>
      <c r="F20" s="1"/>
      <c r="G20" s="1"/>
      <c r="H20" s="1"/>
      <c r="Y20" s="1"/>
      <c r="Z20" s="1"/>
      <c r="AA20" s="1"/>
      <c r="AB20" s="1"/>
      <c r="AC20" s="1"/>
      <c r="AD20" s="1"/>
    </row>
    <row r="21" spans="1:30" x14ac:dyDescent="0.25">
      <c r="C21" s="3"/>
      <c r="D21" s="3"/>
      <c r="E21" s="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25">
      <c r="C22" s="3"/>
      <c r="D22" s="3"/>
      <c r="E22" s="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5">
      <c r="C23" s="3"/>
      <c r="D23" s="3"/>
      <c r="E23" s="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5">
      <c r="C24" s="3"/>
      <c r="D24" s="3"/>
      <c r="E24" s="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C25" s="3"/>
      <c r="D25" s="3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C26" s="3"/>
      <c r="D26" s="3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C27" s="3"/>
      <c r="D27" s="3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C28" s="3"/>
      <c r="D28" s="3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C29" s="3"/>
      <c r="D29" s="3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C30" s="3"/>
      <c r="D30" s="3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</sheetData>
  <mergeCells count="3">
    <mergeCell ref="C1:AD1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</vt:lpstr>
      <vt:lpstr>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Shin, Bangho</dc:creator>
  <cp:lastModifiedBy>Shin, Bangho</cp:lastModifiedBy>
  <dcterms:created xsi:type="dcterms:W3CDTF">2025-07-10T13:50:48Z</dcterms:created>
  <dcterms:modified xsi:type="dcterms:W3CDTF">2026-01-18T13:55:14Z</dcterms:modified>
</cp:coreProperties>
</file>