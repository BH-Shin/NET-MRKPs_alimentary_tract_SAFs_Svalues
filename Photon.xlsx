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-my.sharepoint.com/personal/bangho_shin_ufl_edu/Documents/1. Research/0. Journal_article/MRKPs_alimentary tract SAFs/Supplemental_data/"/>
    </mc:Choice>
  </mc:AlternateContent>
  <xr:revisionPtr revIDLastSave="1044" documentId="8_{85B0524A-A64F-4555-B33B-2E9B53A6FB8E}" xr6:coauthVersionLast="47" xr6:coauthVersionMax="47" xr10:uidLastSave="{31F004FA-28C3-4005-ACA2-04EB4CA5196F}"/>
  <bookViews>
    <workbookView xWindow="-120" yWindow="-120" windowWidth="29040" windowHeight="15720" activeTab="1" xr2:uid="{426DC169-48E9-4562-8E4A-299976FF868F}"/>
  </bookViews>
  <sheets>
    <sheet name="AM" sheetId="1" r:id="rId1"/>
    <sheet name="A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2" l="1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</calcChain>
</file>

<file path=xl/sharedStrings.xml><?xml version="1.0" encoding="utf-8"?>
<sst xmlns="http://schemas.openxmlformats.org/spreadsheetml/2006/main" count="66" uniqueCount="25">
  <si>
    <t>Source</t>
  </si>
  <si>
    <t>Target</t>
  </si>
  <si>
    <t>SAF (unit: kg^-1)</t>
  </si>
  <si>
    <t>Oesophag-f</t>
  </si>
  <si>
    <t>Oesophag-s</t>
  </si>
  <si>
    <t>O-mucosa</t>
  </si>
  <si>
    <t>Teeth-S</t>
  </si>
  <si>
    <t>St-cont</t>
  </si>
  <si>
    <t>St-mucosa</t>
  </si>
  <si>
    <t>SI-cont</t>
  </si>
  <si>
    <t>SI-villi</t>
  </si>
  <si>
    <t>SI-mucosa</t>
  </si>
  <si>
    <t>RC-cont</t>
  </si>
  <si>
    <t>RC-mucosa</t>
  </si>
  <si>
    <t>LC-cont</t>
  </si>
  <si>
    <t>LC-mucosa</t>
  </si>
  <si>
    <t>RS-cont</t>
  </si>
  <si>
    <t>RS-mucosa</t>
  </si>
  <si>
    <t>Oesophagus</t>
  </si>
  <si>
    <t>St-stem</t>
  </si>
  <si>
    <t>SI-stem</t>
  </si>
  <si>
    <t>RC-stem</t>
  </si>
  <si>
    <t>LC-stem</t>
  </si>
  <si>
    <t>RS-stem</t>
  </si>
  <si>
    <t>O-cavity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</si>
</sst>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/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11" fontId="1" fillId="3" borderId="1" xfId="2" applyNumberFormat="1" applyBorder="1"/>
    <xf numFmtId="11" fontId="0" fillId="0" borderId="0" xfId="0" applyNumberFormat="1" applyAlignment="1">
      <alignment vertical="center"/>
    </xf>
    <xf numFmtId="0" fontId="0" fillId="2" borderId="0" xfId="1" applyFont="1" applyBorder="1" applyAlignment="1">
      <alignment horizontal="center"/>
    </xf>
    <xf numFmtId="0" fontId="0" fillId="2" borderId="3" xfId="1" applyFont="1" applyBorder="1" applyAlignment="1">
      <alignment horizontal="center"/>
    </xf>
    <xf numFmtId="0" fontId="0" fillId="2" borderId="0" xfId="1" applyFont="1" applyBorder="1" applyAlignment="1">
      <alignment horizontal="center" vertical="center"/>
    </xf>
    <xf numFmtId="0" fontId="0" fillId="2" borderId="2" xfId="1" applyFont="1" applyBorder="1" applyAlignment="1">
      <alignment horizontal="center" vertical="center"/>
    </xf>
  </cellXfs>
  <cellStyles count="3">
    <cellStyle name="20% - Accent2" xfId="2" builtinId="34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54BE0-3039-4C2C-A8BD-98334ED99D99}">
  <dimension ref="A1:AD30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26" sqref="L26"/>
    </sheetView>
  </sheetViews>
  <sheetFormatPr defaultRowHeight="15" x14ac:dyDescent="0.25"/>
  <cols>
    <col min="1" max="2" width="12.140625" bestFit="1" customWidth="1"/>
    <col min="3" max="30" width="8.7109375" customWidth="1"/>
  </cols>
  <sheetData>
    <row r="1" spans="1:30" x14ac:dyDescent="0.25">
      <c r="A1" s="6" t="s">
        <v>0</v>
      </c>
      <c r="B1" s="6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5"/>
    </row>
    <row r="2" spans="1:30" x14ac:dyDescent="0.25">
      <c r="A2" s="7"/>
      <c r="B2" s="7"/>
      <c r="C2" s="2">
        <v>9.9999999999999995E-7</v>
      </c>
      <c r="D2" s="2">
        <v>1E-3</v>
      </c>
      <c r="E2" s="2">
        <v>5.0000000000000001E-3</v>
      </c>
      <c r="F2" s="2">
        <v>0.01</v>
      </c>
      <c r="G2" s="2">
        <v>1.4999999999999999E-2</v>
      </c>
      <c r="H2" s="2">
        <v>0.02</v>
      </c>
      <c r="I2" s="2">
        <v>0.03</v>
      </c>
      <c r="J2" s="2">
        <v>0.04</v>
      </c>
      <c r="K2" s="2">
        <v>0.05</v>
      </c>
      <c r="L2" s="2">
        <v>0.06</v>
      </c>
      <c r="M2" s="2">
        <v>0.08</v>
      </c>
      <c r="N2" s="2">
        <v>0.1</v>
      </c>
      <c r="O2" s="2">
        <v>0.15</v>
      </c>
      <c r="P2" s="2">
        <v>0.2</v>
      </c>
      <c r="Q2" s="2">
        <v>0.3</v>
      </c>
      <c r="R2" s="2">
        <v>0.4</v>
      </c>
      <c r="S2" s="2">
        <v>0.5</v>
      </c>
      <c r="T2" s="2">
        <v>0.6</v>
      </c>
      <c r="U2" s="2">
        <v>0.8</v>
      </c>
      <c r="V2" s="2">
        <v>1</v>
      </c>
      <c r="W2" s="2">
        <v>1.5</v>
      </c>
      <c r="X2" s="2">
        <v>2</v>
      </c>
      <c r="Y2" s="2">
        <v>3</v>
      </c>
      <c r="Z2" s="2">
        <v>4</v>
      </c>
      <c r="AA2" s="2">
        <v>5</v>
      </c>
      <c r="AB2" s="2">
        <v>6</v>
      </c>
      <c r="AC2" s="2">
        <v>8</v>
      </c>
      <c r="AD2" s="2">
        <v>10</v>
      </c>
    </row>
    <row r="3" spans="1:30" x14ac:dyDescent="0.25">
      <c r="A3" t="s">
        <v>24</v>
      </c>
      <c r="B3" t="s">
        <v>5</v>
      </c>
      <c r="C3" s="3">
        <v>9.9999999999999998E-13</v>
      </c>
      <c r="D3" s="3">
        <f t="shared" ref="D3:E17" si="0">10^(LOG($C3)+((LOG($F3)-LOG($C3))/(LOG($F$2)-LOG($C$2)))*(LOG(D$2)-LOG($C$2)))</f>
        <v>4.1827747268321494E-3</v>
      </c>
      <c r="E3" s="3">
        <f t="shared" si="0"/>
        <v>0.72974225984932628</v>
      </c>
      <c r="F3" s="1">
        <v>6.7393700000000001</v>
      </c>
      <c r="G3" s="1">
        <v>6.6765999999999996</v>
      </c>
      <c r="H3" s="1">
        <v>5.2172900000000002</v>
      </c>
      <c r="I3" s="1">
        <v>2.59443</v>
      </c>
      <c r="J3" s="1">
        <v>1.4125099999999999</v>
      </c>
      <c r="K3" s="1">
        <v>0.91971199999999997</v>
      </c>
      <c r="L3" s="1">
        <v>0.71919100000000002</v>
      </c>
      <c r="M3" s="1">
        <v>0.57379800000000003</v>
      </c>
      <c r="N3" s="1">
        <v>0.55199299999999996</v>
      </c>
      <c r="O3" s="1">
        <v>0.55599600000000005</v>
      </c>
      <c r="P3" s="1">
        <v>0.57983099999999999</v>
      </c>
      <c r="Q3" s="1">
        <v>0.59631100000000004</v>
      </c>
      <c r="R3" s="1">
        <v>0.60161299999999995</v>
      </c>
      <c r="S3" s="1">
        <v>0.60306499999999996</v>
      </c>
      <c r="T3" s="1">
        <v>0.59600900000000001</v>
      </c>
      <c r="U3" s="1">
        <v>0.56831799999999999</v>
      </c>
      <c r="V3" s="1">
        <v>0.54139499999999996</v>
      </c>
      <c r="W3" s="1">
        <v>0.480097</v>
      </c>
      <c r="X3" s="1">
        <v>0.42690099999999997</v>
      </c>
      <c r="Y3" s="1">
        <v>0.34169899999999997</v>
      </c>
      <c r="Z3" s="1">
        <v>0.28516200000000003</v>
      </c>
      <c r="AA3" s="1">
        <v>0.245391</v>
      </c>
      <c r="AB3" s="1">
        <v>0.212315</v>
      </c>
      <c r="AC3" s="1">
        <v>0.168743</v>
      </c>
      <c r="AD3" s="1">
        <v>0.13944999999999999</v>
      </c>
    </row>
    <row r="4" spans="1:30" x14ac:dyDescent="0.25">
      <c r="A4" t="s">
        <v>6</v>
      </c>
      <c r="B4" t="s">
        <v>5</v>
      </c>
      <c r="C4" s="3">
        <v>9.9999999999999998E-13</v>
      </c>
      <c r="D4" s="3">
        <f t="shared" si="0"/>
        <v>9.3268862855005723E-3</v>
      </c>
      <c r="E4" s="3">
        <f t="shared" si="0"/>
        <v>1.9614879556873908</v>
      </c>
      <c r="F4" s="1">
        <v>19.6328</v>
      </c>
      <c r="G4" s="1">
        <v>8.2208600000000001</v>
      </c>
      <c r="H4" s="1">
        <v>4.2176600000000004</v>
      </c>
      <c r="I4" s="1">
        <v>1.55453</v>
      </c>
      <c r="J4" s="1">
        <v>0.84832099999999999</v>
      </c>
      <c r="K4" s="1">
        <v>0.57457000000000003</v>
      </c>
      <c r="L4" s="1">
        <v>0.47522199999999998</v>
      </c>
      <c r="M4" s="1">
        <v>0.43455899999999997</v>
      </c>
      <c r="N4" s="1">
        <v>0.45728600000000003</v>
      </c>
      <c r="O4" s="1">
        <v>0.44566899999999998</v>
      </c>
      <c r="P4" s="1">
        <v>0.43992199999999998</v>
      </c>
      <c r="Q4" s="1">
        <v>0.50165300000000002</v>
      </c>
      <c r="R4" s="1">
        <v>0.53131399999999995</v>
      </c>
      <c r="S4" s="1">
        <v>0.50282000000000004</v>
      </c>
      <c r="T4" s="1">
        <v>0.49748700000000001</v>
      </c>
      <c r="U4" s="1">
        <v>0.48205500000000001</v>
      </c>
      <c r="V4" s="1">
        <v>0.43633499999999997</v>
      </c>
      <c r="W4" s="1">
        <v>0.37609399999999998</v>
      </c>
      <c r="X4" s="1">
        <v>0.34450199999999997</v>
      </c>
      <c r="Y4" s="1">
        <v>0.26707900000000001</v>
      </c>
      <c r="Z4" s="1">
        <v>0.216082</v>
      </c>
      <c r="AA4" s="1">
        <v>0.19705500000000001</v>
      </c>
      <c r="AB4" s="1">
        <v>0.17574899999999999</v>
      </c>
      <c r="AC4" s="1">
        <v>0.141819</v>
      </c>
      <c r="AD4" s="1">
        <v>0.123778</v>
      </c>
    </row>
    <row r="5" spans="1:30" x14ac:dyDescent="0.25">
      <c r="A5" t="s">
        <v>3</v>
      </c>
      <c r="B5" t="s">
        <v>18</v>
      </c>
      <c r="C5" s="3">
        <v>9.9999999999999998E-13</v>
      </c>
      <c r="D5" s="3">
        <f t="shared" si="0"/>
        <v>6.9352800134448557E-3</v>
      </c>
      <c r="E5" s="3">
        <f t="shared" si="0"/>
        <v>1.3612362821860597</v>
      </c>
      <c r="F5" s="1">
        <v>13.2257</v>
      </c>
      <c r="G5" s="1">
        <v>11.4374</v>
      </c>
      <c r="H5" s="1">
        <v>7.3514799999999996</v>
      </c>
      <c r="I5" s="1">
        <v>3.0161699999999998</v>
      </c>
      <c r="J5" s="1">
        <v>1.51285</v>
      </c>
      <c r="K5" s="1">
        <v>0.94215400000000005</v>
      </c>
      <c r="L5" s="1">
        <v>0.73280199999999995</v>
      </c>
      <c r="M5" s="1">
        <v>0.58103499999999997</v>
      </c>
      <c r="N5" s="1">
        <v>0.54575700000000005</v>
      </c>
      <c r="O5" s="1">
        <v>0.57125199999999998</v>
      </c>
      <c r="P5" s="1">
        <v>0.59418700000000002</v>
      </c>
      <c r="Q5" s="1">
        <v>0.63235399999999997</v>
      </c>
      <c r="R5" s="1">
        <v>0.635683</v>
      </c>
      <c r="S5" s="1">
        <v>0.631216</v>
      </c>
      <c r="T5" s="1">
        <v>0.62929500000000005</v>
      </c>
      <c r="U5" s="1">
        <v>0.603908</v>
      </c>
      <c r="V5" s="1">
        <v>0.56421200000000005</v>
      </c>
      <c r="W5" s="1">
        <v>0.48560599999999998</v>
      </c>
      <c r="X5" s="1">
        <v>0.40612500000000001</v>
      </c>
      <c r="Y5" s="1">
        <v>0.29260199999999997</v>
      </c>
      <c r="Z5" s="1">
        <v>0.22142000000000001</v>
      </c>
      <c r="AA5" s="1">
        <v>0.17569399999999999</v>
      </c>
      <c r="AB5" s="1">
        <v>0.14460300000000001</v>
      </c>
      <c r="AC5" s="1">
        <v>0.106685</v>
      </c>
      <c r="AD5" s="1">
        <v>8.6111300000000002E-2</v>
      </c>
    </row>
    <row r="6" spans="1:30" x14ac:dyDescent="0.25">
      <c r="A6" t="s">
        <v>4</v>
      </c>
      <c r="B6" t="s">
        <v>18</v>
      </c>
      <c r="C6" s="3">
        <v>9.9999999999999998E-13</v>
      </c>
      <c r="D6" s="3">
        <f t="shared" si="0"/>
        <v>1.7661459665840824E-2</v>
      </c>
      <c r="E6" s="3">
        <f t="shared" si="0"/>
        <v>4.310040337751265</v>
      </c>
      <c r="F6" s="1">
        <v>45.994100000000003</v>
      </c>
      <c r="G6" s="1">
        <v>22.335000000000001</v>
      </c>
      <c r="H6" s="1">
        <v>11.922599999999999</v>
      </c>
      <c r="I6" s="1">
        <v>4.1208999999999998</v>
      </c>
      <c r="J6" s="3">
        <v>2.1583399999999999</v>
      </c>
      <c r="K6" s="1">
        <v>1.1655800000000001</v>
      </c>
      <c r="L6" s="1">
        <v>0.96594500000000005</v>
      </c>
      <c r="M6" s="1">
        <v>0.77610299999999999</v>
      </c>
      <c r="N6" s="1">
        <v>0.741035</v>
      </c>
      <c r="O6" s="1">
        <v>0.80083300000000002</v>
      </c>
      <c r="P6" s="1">
        <v>0.79574100000000003</v>
      </c>
      <c r="Q6" s="1">
        <v>0.871448</v>
      </c>
      <c r="R6" s="1">
        <v>0.86941999999999997</v>
      </c>
      <c r="S6" s="1">
        <v>0.86147399999999996</v>
      </c>
      <c r="T6" s="1">
        <v>0.84079800000000005</v>
      </c>
      <c r="U6" s="1">
        <v>0.76548700000000003</v>
      </c>
      <c r="V6" s="1">
        <v>0.71800799999999998</v>
      </c>
      <c r="W6" s="1">
        <v>0.55573099999999998</v>
      </c>
      <c r="X6" s="1">
        <v>0.43026799999999998</v>
      </c>
      <c r="Y6" s="1">
        <v>0.31046200000000002</v>
      </c>
      <c r="Z6" s="1">
        <v>0.24443999999999999</v>
      </c>
      <c r="AA6" s="1">
        <v>0.18820600000000001</v>
      </c>
      <c r="AB6" s="1">
        <v>0.154862</v>
      </c>
      <c r="AC6" s="1">
        <v>0.11991499999999999</v>
      </c>
      <c r="AD6" s="1">
        <v>9.3457899999999997E-2</v>
      </c>
    </row>
    <row r="7" spans="1:30" x14ac:dyDescent="0.25">
      <c r="A7" t="s">
        <v>7</v>
      </c>
      <c r="B7" t="s">
        <v>19</v>
      </c>
      <c r="C7" s="3">
        <v>9.9999999999999998E-13</v>
      </c>
      <c r="D7" s="3">
        <f t="shared" si="0"/>
        <v>1.5000384173954908E-3</v>
      </c>
      <c r="E7" s="3">
        <f t="shared" si="0"/>
        <v>0.20608315244167191</v>
      </c>
      <c r="F7" s="1">
        <v>1.71713</v>
      </c>
      <c r="G7" s="1">
        <v>1.7253400000000001</v>
      </c>
      <c r="H7" s="1">
        <v>1.53647</v>
      </c>
      <c r="I7" s="1">
        <v>0.97255100000000005</v>
      </c>
      <c r="J7" s="1">
        <v>0.60924299999999998</v>
      </c>
      <c r="K7" s="1">
        <v>0.42730000000000001</v>
      </c>
      <c r="L7" s="1">
        <v>0.34098800000000001</v>
      </c>
      <c r="M7" s="1">
        <v>0.26220199999999999</v>
      </c>
      <c r="N7" s="1">
        <v>0.23780100000000001</v>
      </c>
      <c r="O7" s="1">
        <v>0.231129</v>
      </c>
      <c r="P7" s="1">
        <v>0.234126</v>
      </c>
      <c r="Q7" s="1">
        <v>0.235544</v>
      </c>
      <c r="R7" s="1">
        <v>0.23869399999999999</v>
      </c>
      <c r="S7" s="1">
        <v>0.23772299999999999</v>
      </c>
      <c r="T7" s="1">
        <v>0.230963</v>
      </c>
      <c r="U7" s="1">
        <v>0.22274099999999999</v>
      </c>
      <c r="V7" s="1">
        <v>0.21305499999999999</v>
      </c>
      <c r="W7" s="1">
        <v>0.19192799999999999</v>
      </c>
      <c r="X7" s="1">
        <v>0.171843</v>
      </c>
      <c r="Y7" s="1">
        <v>0.14413000000000001</v>
      </c>
      <c r="Z7" s="1">
        <v>0.124657</v>
      </c>
      <c r="AA7" s="1">
        <v>0.10996</v>
      </c>
      <c r="AB7" s="1">
        <v>9.8315100000000002E-2</v>
      </c>
      <c r="AC7" s="1">
        <v>8.07065E-2</v>
      </c>
      <c r="AD7" s="1">
        <v>6.8955900000000001E-2</v>
      </c>
    </row>
    <row r="8" spans="1:30" x14ac:dyDescent="0.25">
      <c r="A8" t="s">
        <v>8</v>
      </c>
      <c r="B8" t="s">
        <v>19</v>
      </c>
      <c r="C8" s="3">
        <v>133.07870940267622</v>
      </c>
      <c r="D8" s="3">
        <f t="shared" si="0"/>
        <v>43.120525403956968</v>
      </c>
      <c r="E8" s="3">
        <f t="shared" si="0"/>
        <v>33.162939636925834</v>
      </c>
      <c r="F8" s="1">
        <v>29.617100000000001</v>
      </c>
      <c r="G8" s="1">
        <v>11.993499999999999</v>
      </c>
      <c r="H8" s="1">
        <v>6.0325300000000004</v>
      </c>
      <c r="I8" s="1">
        <v>2.266</v>
      </c>
      <c r="J8" s="1">
        <v>1.16632</v>
      </c>
      <c r="K8" s="1">
        <v>0.75750700000000004</v>
      </c>
      <c r="L8" s="1">
        <v>0.58614699999999997</v>
      </c>
      <c r="M8" s="1">
        <v>0.464115</v>
      </c>
      <c r="N8" s="1">
        <v>0.43898199999999998</v>
      </c>
      <c r="O8" s="1">
        <v>0.45075100000000001</v>
      </c>
      <c r="P8" s="1">
        <v>0.46446999999999999</v>
      </c>
      <c r="Q8" s="1">
        <v>0.46782299999999999</v>
      </c>
      <c r="R8" s="1">
        <v>0.44745000000000001</v>
      </c>
      <c r="S8" s="1">
        <v>0.42164499999999999</v>
      </c>
      <c r="T8" s="1">
        <v>0.39652799999999999</v>
      </c>
      <c r="U8" s="1">
        <v>0.35425499999999999</v>
      </c>
      <c r="V8" s="1">
        <v>0.31984699999999999</v>
      </c>
      <c r="W8" s="1">
        <v>0.25253599999999998</v>
      </c>
      <c r="X8" s="1">
        <v>0.21232200000000001</v>
      </c>
      <c r="Y8" s="1">
        <v>0.161241</v>
      </c>
      <c r="Z8" s="1">
        <v>0.13115299999999999</v>
      </c>
      <c r="AA8" s="1">
        <v>0.11210000000000001</v>
      </c>
      <c r="AB8" s="1">
        <v>9.8149700000000006E-2</v>
      </c>
      <c r="AC8" s="1">
        <v>7.9260200000000003E-2</v>
      </c>
      <c r="AD8" s="1">
        <v>6.7029099999999994E-2</v>
      </c>
    </row>
    <row r="9" spans="1:30" x14ac:dyDescent="0.25">
      <c r="A9" t="s">
        <v>9</v>
      </c>
      <c r="B9" t="s">
        <v>20</v>
      </c>
      <c r="C9" s="3">
        <v>9.9999999999999998E-13</v>
      </c>
      <c r="D9" s="3">
        <f t="shared" si="0"/>
        <v>9.985161329019894E-4</v>
      </c>
      <c r="E9" s="3">
        <f t="shared" si="0"/>
        <v>0.12477134038673834</v>
      </c>
      <c r="F9" s="1">
        <v>0.99802199999999996</v>
      </c>
      <c r="G9" s="1">
        <v>0.93327099999999996</v>
      </c>
      <c r="H9" s="1">
        <v>0.73569700000000005</v>
      </c>
      <c r="I9" s="1">
        <v>0.42652899999999999</v>
      </c>
      <c r="J9" s="1">
        <v>0.269426</v>
      </c>
      <c r="K9" s="1">
        <v>0.193991</v>
      </c>
      <c r="L9" s="1">
        <v>0.154389</v>
      </c>
      <c r="M9" s="1">
        <v>0.12110700000000001</v>
      </c>
      <c r="N9" s="1">
        <v>0.109981</v>
      </c>
      <c r="O9" s="1">
        <v>0.10516200000000001</v>
      </c>
      <c r="P9" s="1">
        <v>0.10762099999999999</v>
      </c>
      <c r="Q9" s="1">
        <v>0.109584</v>
      </c>
      <c r="R9" s="1">
        <v>0.10893899999999999</v>
      </c>
      <c r="S9" s="1">
        <v>0.108306</v>
      </c>
      <c r="T9" s="1">
        <v>0.106268</v>
      </c>
      <c r="U9" s="1">
        <v>0.102349</v>
      </c>
      <c r="V9" s="1">
        <v>9.7764699999999996E-2</v>
      </c>
      <c r="W9" s="1">
        <v>8.6267800000000006E-2</v>
      </c>
      <c r="X9" s="1">
        <v>7.7430299999999994E-2</v>
      </c>
      <c r="Y9" s="1">
        <v>6.4092899999999994E-2</v>
      </c>
      <c r="Z9" s="1">
        <v>5.4711599999999999E-2</v>
      </c>
      <c r="AA9" s="1">
        <v>4.8309600000000001E-2</v>
      </c>
      <c r="AB9" s="1">
        <v>4.3271700000000003E-2</v>
      </c>
      <c r="AC9" s="1">
        <v>3.6385000000000001E-2</v>
      </c>
      <c r="AD9" s="1">
        <v>3.1706100000000001E-2</v>
      </c>
    </row>
    <row r="10" spans="1:30" x14ac:dyDescent="0.25">
      <c r="A10" t="s">
        <v>11</v>
      </c>
      <c r="B10" t="s">
        <v>20</v>
      </c>
      <c r="C10" s="3">
        <v>45.627931594604959</v>
      </c>
      <c r="D10" s="3">
        <f t="shared" si="0"/>
        <v>12.100708231226562</v>
      </c>
      <c r="E10" s="3">
        <f t="shared" si="0"/>
        <v>8.8819984826234801</v>
      </c>
      <c r="F10" s="1">
        <v>7.77447</v>
      </c>
      <c r="G10" s="1">
        <v>3.11883</v>
      </c>
      <c r="H10" s="1">
        <v>1.6524099999999999</v>
      </c>
      <c r="I10" s="1">
        <v>0.68641600000000003</v>
      </c>
      <c r="J10" s="1">
        <v>0.37824999999999998</v>
      </c>
      <c r="K10" s="1">
        <v>0.25905099999999998</v>
      </c>
      <c r="L10" s="1">
        <v>0.20447100000000001</v>
      </c>
      <c r="M10" s="1">
        <v>0.16170000000000001</v>
      </c>
      <c r="N10" s="1">
        <v>0.151473</v>
      </c>
      <c r="O10" s="1">
        <v>0.149751</v>
      </c>
      <c r="P10" s="1">
        <v>0.151725</v>
      </c>
      <c r="Q10" s="1">
        <v>0.14986099999999999</v>
      </c>
      <c r="R10" s="1">
        <v>0.14480399999999999</v>
      </c>
      <c r="S10" s="1">
        <v>0.13894300000000001</v>
      </c>
      <c r="T10" s="1">
        <v>0.131491</v>
      </c>
      <c r="U10" s="1">
        <v>0.120322</v>
      </c>
      <c r="V10" s="1">
        <v>0.110383</v>
      </c>
      <c r="W10" s="1">
        <v>9.1841999999999993E-2</v>
      </c>
      <c r="X10" s="1">
        <v>7.9568E-2</v>
      </c>
      <c r="Y10" s="1">
        <v>6.4074500000000006E-2</v>
      </c>
      <c r="Z10" s="1">
        <v>5.4755699999999997E-2</v>
      </c>
      <c r="AA10" s="1">
        <v>4.8023299999999998E-2</v>
      </c>
      <c r="AB10" s="1">
        <v>4.3001200000000003E-2</v>
      </c>
      <c r="AC10" s="1">
        <v>3.6161100000000002E-2</v>
      </c>
      <c r="AD10" s="1">
        <v>3.1371000000000003E-2</v>
      </c>
    </row>
    <row r="11" spans="1:30" x14ac:dyDescent="0.25">
      <c r="A11" t="s">
        <v>10</v>
      </c>
      <c r="B11" t="s">
        <v>20</v>
      </c>
      <c r="C11" s="3">
        <v>9.9999999999999998E-13</v>
      </c>
      <c r="D11" s="3">
        <f t="shared" si="0"/>
        <v>7.0542534684007432E-4</v>
      </c>
      <c r="E11" s="3">
        <f t="shared" si="0"/>
        <v>8.1292725749757391E-2</v>
      </c>
      <c r="F11" s="1">
        <v>0.62796399999999997</v>
      </c>
      <c r="G11" s="1">
        <v>0.78732500000000005</v>
      </c>
      <c r="H11" s="1">
        <v>0.67061199999999999</v>
      </c>
      <c r="I11" s="1">
        <v>0.407939</v>
      </c>
      <c r="J11" s="1">
        <v>0.26303700000000002</v>
      </c>
      <c r="K11" s="1">
        <v>0.18845799999999999</v>
      </c>
      <c r="L11" s="1">
        <v>0.15004999999999999</v>
      </c>
      <c r="M11" s="1">
        <v>0.119965</v>
      </c>
      <c r="N11" s="1">
        <v>0.109162</v>
      </c>
      <c r="O11" s="1">
        <v>0.104558</v>
      </c>
      <c r="P11" s="1">
        <v>0.10477400000000001</v>
      </c>
      <c r="Q11" s="1">
        <v>0.106793</v>
      </c>
      <c r="R11" s="1">
        <v>0.10589</v>
      </c>
      <c r="S11" s="1">
        <v>0.104806</v>
      </c>
      <c r="T11" s="1">
        <v>0.103741</v>
      </c>
      <c r="U11" s="1">
        <v>9.9942500000000004E-2</v>
      </c>
      <c r="V11" s="1">
        <v>9.6118800000000004E-2</v>
      </c>
      <c r="W11" s="1">
        <v>8.6015599999999998E-2</v>
      </c>
      <c r="X11" s="1">
        <v>7.7198699999999995E-2</v>
      </c>
      <c r="Y11" s="1">
        <v>6.3724299999999998E-2</v>
      </c>
      <c r="Z11" s="1">
        <v>5.4721499999999999E-2</v>
      </c>
      <c r="AA11" s="1">
        <v>4.81276E-2</v>
      </c>
      <c r="AB11" s="1">
        <v>4.3149300000000002E-2</v>
      </c>
      <c r="AC11" s="1">
        <v>3.6358000000000001E-2</v>
      </c>
      <c r="AD11" s="1">
        <v>3.1756899999999998E-2</v>
      </c>
    </row>
    <row r="12" spans="1:30" x14ac:dyDescent="0.25">
      <c r="A12" t="s">
        <v>12</v>
      </c>
      <c r="B12" t="s">
        <v>21</v>
      </c>
      <c r="C12" s="3">
        <v>9.9999999999999998E-13</v>
      </c>
      <c r="D12" s="3">
        <f t="shared" si="0"/>
        <v>1.4870667821327995E-3</v>
      </c>
      <c r="E12" s="3">
        <f t="shared" si="0"/>
        <v>0.20388804545386643</v>
      </c>
      <c r="F12" s="1">
        <v>1.69736</v>
      </c>
      <c r="G12" s="1">
        <v>1.95587</v>
      </c>
      <c r="H12" s="1">
        <v>1.6746099999999999</v>
      </c>
      <c r="I12" s="1">
        <v>0.96647300000000003</v>
      </c>
      <c r="J12" s="1">
        <v>0.57504599999999995</v>
      </c>
      <c r="K12" s="1">
        <v>0.39560899999999999</v>
      </c>
      <c r="L12" s="1">
        <v>0.30885499999999999</v>
      </c>
      <c r="M12" s="1">
        <v>0.23940500000000001</v>
      </c>
      <c r="N12" s="1">
        <v>0.21928400000000001</v>
      </c>
      <c r="O12" s="1">
        <v>0.212946</v>
      </c>
      <c r="P12" s="1">
        <v>0.21679499999999999</v>
      </c>
      <c r="Q12" s="1">
        <v>0.22381400000000001</v>
      </c>
      <c r="R12" s="1">
        <v>0.22467799999999999</v>
      </c>
      <c r="S12" s="1">
        <v>0.22461400000000001</v>
      </c>
      <c r="T12" s="1">
        <v>0.219418</v>
      </c>
      <c r="U12" s="1">
        <v>0.21290300000000001</v>
      </c>
      <c r="V12" s="1">
        <v>0.20563200000000001</v>
      </c>
      <c r="W12" s="1">
        <v>0.180731</v>
      </c>
      <c r="X12" s="1">
        <v>0.16298899999999999</v>
      </c>
      <c r="Y12" s="1">
        <v>0.13414599999999999</v>
      </c>
      <c r="Z12" s="1">
        <v>0.113658</v>
      </c>
      <c r="AA12" s="1">
        <v>9.8051200000000005E-2</v>
      </c>
      <c r="AB12" s="1">
        <v>8.6365800000000006E-2</v>
      </c>
      <c r="AC12" s="1">
        <v>7.0203600000000005E-2</v>
      </c>
      <c r="AD12" s="1">
        <v>5.9194499999999997E-2</v>
      </c>
    </row>
    <row r="13" spans="1:30" x14ac:dyDescent="0.25">
      <c r="A13" t="s">
        <v>13</v>
      </c>
      <c r="B13" t="s">
        <v>21</v>
      </c>
      <c r="C13" s="3">
        <v>96.811044203922776</v>
      </c>
      <c r="D13" s="3">
        <f t="shared" si="0"/>
        <v>28.041912819127173</v>
      </c>
      <c r="E13" s="3">
        <f t="shared" si="0"/>
        <v>21.010272798022264</v>
      </c>
      <c r="F13" s="1">
        <v>18.553899999999999</v>
      </c>
      <c r="G13" s="1">
        <v>8.0656099999999995</v>
      </c>
      <c r="H13" s="1">
        <v>4.2864399999999998</v>
      </c>
      <c r="I13" s="1">
        <v>1.70153</v>
      </c>
      <c r="J13" s="1">
        <v>0.90057500000000001</v>
      </c>
      <c r="K13" s="1">
        <v>0.59340400000000004</v>
      </c>
      <c r="L13" s="1">
        <v>0.45183499999999999</v>
      </c>
      <c r="M13" s="1">
        <v>0.35267100000000001</v>
      </c>
      <c r="N13" s="1">
        <v>0.32874999999999999</v>
      </c>
      <c r="O13" s="1">
        <v>0.33899000000000001</v>
      </c>
      <c r="P13" s="1">
        <v>0.34775400000000001</v>
      </c>
      <c r="Q13" s="1">
        <v>0.35404400000000003</v>
      </c>
      <c r="R13" s="1">
        <v>0.34443299999999999</v>
      </c>
      <c r="S13" s="1">
        <v>0.33172499999999999</v>
      </c>
      <c r="T13" s="1">
        <v>0.31613999999999998</v>
      </c>
      <c r="U13" s="1">
        <v>0.28636899999999998</v>
      </c>
      <c r="V13" s="1">
        <v>0.26006000000000001</v>
      </c>
      <c r="W13" s="1">
        <v>0.20976900000000001</v>
      </c>
      <c r="X13" s="1">
        <v>0.177874</v>
      </c>
      <c r="Y13" s="1">
        <v>0.13842499999999999</v>
      </c>
      <c r="Z13" s="1">
        <v>0.113632</v>
      </c>
      <c r="AA13" s="1">
        <v>9.7595600000000005E-2</v>
      </c>
      <c r="AB13" s="1">
        <v>8.5654800000000003E-2</v>
      </c>
      <c r="AC13" s="1">
        <v>6.9061499999999998E-2</v>
      </c>
      <c r="AD13" s="1">
        <v>5.8399800000000002E-2</v>
      </c>
    </row>
    <row r="14" spans="1:30" x14ac:dyDescent="0.25">
      <c r="A14" t="s">
        <v>14</v>
      </c>
      <c r="B14" t="s">
        <v>22</v>
      </c>
      <c r="C14" s="3">
        <v>9.9999999999999998E-13</v>
      </c>
      <c r="D14" s="3">
        <f t="shared" si="0"/>
        <v>2.4895694984573007E-3</v>
      </c>
      <c r="E14" s="3">
        <f t="shared" si="0"/>
        <v>0.38488169642144227</v>
      </c>
      <c r="F14" s="1">
        <v>3.3741599999999998</v>
      </c>
      <c r="G14" s="1">
        <v>3.5826699999999998</v>
      </c>
      <c r="H14" s="1">
        <v>2.7990900000000001</v>
      </c>
      <c r="I14" s="1">
        <v>1.42225</v>
      </c>
      <c r="J14" s="1">
        <v>0.79154500000000005</v>
      </c>
      <c r="K14" s="1">
        <v>0.52302000000000004</v>
      </c>
      <c r="L14" s="1">
        <v>0.40702700000000003</v>
      </c>
      <c r="M14" s="1">
        <v>0.31425900000000001</v>
      </c>
      <c r="N14" s="1">
        <v>0.29620200000000002</v>
      </c>
      <c r="O14" s="1">
        <v>0.283858</v>
      </c>
      <c r="P14" s="1">
        <v>0.29749300000000001</v>
      </c>
      <c r="Q14" s="1">
        <v>0.30689300000000003</v>
      </c>
      <c r="R14" s="1">
        <v>0.31196099999999999</v>
      </c>
      <c r="S14" s="1">
        <v>0.311612</v>
      </c>
      <c r="T14" s="1">
        <v>0.30608299999999999</v>
      </c>
      <c r="U14" s="1">
        <v>0.295047</v>
      </c>
      <c r="V14" s="1">
        <v>0.27837299999999998</v>
      </c>
      <c r="W14" s="1">
        <v>0.24883</v>
      </c>
      <c r="X14" s="1">
        <v>0.218801</v>
      </c>
      <c r="Y14" s="1">
        <v>0.174096</v>
      </c>
      <c r="Z14" s="1">
        <v>0.142454</v>
      </c>
      <c r="AA14" s="1">
        <v>0.12046900000000001</v>
      </c>
      <c r="AB14" s="1">
        <v>0.104161</v>
      </c>
      <c r="AC14" s="1">
        <v>8.1079899999999996E-2</v>
      </c>
      <c r="AD14" s="1">
        <v>6.6497899999999999E-2</v>
      </c>
    </row>
    <row r="15" spans="1:30" x14ac:dyDescent="0.25">
      <c r="A15" t="s">
        <v>15</v>
      </c>
      <c r="B15" t="s">
        <v>22</v>
      </c>
      <c r="C15" s="3">
        <v>149.42813851390727</v>
      </c>
      <c r="D15" s="3">
        <f t="shared" si="0"/>
        <v>43.823481807447024</v>
      </c>
      <c r="E15" s="3">
        <f t="shared" si="0"/>
        <v>32.929653661462837</v>
      </c>
      <c r="F15" s="1">
        <v>29.116</v>
      </c>
      <c r="G15" s="1">
        <v>12.5534</v>
      </c>
      <c r="H15" s="1">
        <v>6.5833300000000001</v>
      </c>
      <c r="I15" s="1">
        <v>2.4522499999999998</v>
      </c>
      <c r="J15" s="1">
        <v>1.2340800000000001</v>
      </c>
      <c r="K15" s="1">
        <v>0.78966099999999995</v>
      </c>
      <c r="L15" s="1">
        <v>0.60784899999999997</v>
      </c>
      <c r="M15" s="1">
        <v>0.48055999999999999</v>
      </c>
      <c r="N15" s="1">
        <v>0.44537500000000002</v>
      </c>
      <c r="O15" s="1">
        <v>0.45922099999999999</v>
      </c>
      <c r="P15" s="1">
        <v>0.48480600000000001</v>
      </c>
      <c r="Q15" s="1">
        <v>0.49435000000000001</v>
      </c>
      <c r="R15" s="1">
        <v>0.48125400000000002</v>
      </c>
      <c r="S15" s="1">
        <v>0.457119</v>
      </c>
      <c r="T15" s="1">
        <v>0.434166</v>
      </c>
      <c r="U15" s="1">
        <v>0.386882</v>
      </c>
      <c r="V15" s="1">
        <v>0.35016700000000001</v>
      </c>
      <c r="W15" s="1">
        <v>0.27579100000000001</v>
      </c>
      <c r="X15" s="1">
        <v>0.22975599999999999</v>
      </c>
      <c r="Y15" s="1">
        <v>0.17192399999999999</v>
      </c>
      <c r="Z15" s="1">
        <v>0.13749800000000001</v>
      </c>
      <c r="AA15" s="1">
        <v>0.115159</v>
      </c>
      <c r="AB15" s="1">
        <v>9.8103700000000002E-2</v>
      </c>
      <c r="AC15" s="1">
        <v>7.6993599999999995E-2</v>
      </c>
      <c r="AD15" s="1">
        <v>6.2819799999999995E-2</v>
      </c>
    </row>
    <row r="16" spans="1:30" x14ac:dyDescent="0.25">
      <c r="A16" t="s">
        <v>16</v>
      </c>
      <c r="B16" t="s">
        <v>23</v>
      </c>
      <c r="C16" s="3">
        <v>9.9999999999999998E-13</v>
      </c>
      <c r="D16" s="3">
        <f t="shared" si="0"/>
        <v>2.4852242370866245E-3</v>
      </c>
      <c r="E16" s="3">
        <f t="shared" si="0"/>
        <v>0.38405358245323923</v>
      </c>
      <c r="F16" s="1">
        <v>3.3663099999999999</v>
      </c>
      <c r="G16" s="1">
        <v>3.9919899999999999</v>
      </c>
      <c r="H16" s="1">
        <v>3.4669500000000002</v>
      </c>
      <c r="I16" s="1">
        <v>1.9849699999999999</v>
      </c>
      <c r="J16" s="1">
        <v>1.1531499999999999</v>
      </c>
      <c r="K16" s="1">
        <v>0.76731099999999997</v>
      </c>
      <c r="L16" s="1">
        <v>0.59365599999999996</v>
      </c>
      <c r="M16" s="1">
        <v>0.45965600000000001</v>
      </c>
      <c r="N16" s="1">
        <v>0.429255</v>
      </c>
      <c r="O16" s="1">
        <v>0.42322900000000002</v>
      </c>
      <c r="P16" s="1">
        <v>0.42714600000000003</v>
      </c>
      <c r="Q16" s="1">
        <v>0.44557000000000002</v>
      </c>
      <c r="R16" s="1">
        <v>0.44678099999999998</v>
      </c>
      <c r="S16" s="1">
        <v>0.44797900000000002</v>
      </c>
      <c r="T16" s="1">
        <v>0.434529</v>
      </c>
      <c r="U16" s="1">
        <v>0.42255999999999999</v>
      </c>
      <c r="V16" s="1">
        <v>0.40745399999999998</v>
      </c>
      <c r="W16" s="1">
        <v>0.35932999999999998</v>
      </c>
      <c r="X16" s="1">
        <v>0.32111699999999999</v>
      </c>
      <c r="Y16" s="1">
        <v>0.26377699999999998</v>
      </c>
      <c r="Z16" s="1">
        <v>0.22289100000000001</v>
      </c>
      <c r="AA16" s="1">
        <v>0.192443</v>
      </c>
      <c r="AB16" s="1">
        <v>0.168014</v>
      </c>
      <c r="AC16" s="1">
        <v>0.13378999999999999</v>
      </c>
      <c r="AD16" s="1">
        <v>0.11090999999999999</v>
      </c>
    </row>
    <row r="17" spans="1:30" x14ac:dyDescent="0.25">
      <c r="A17" t="s">
        <v>17</v>
      </c>
      <c r="B17" t="s">
        <v>23</v>
      </c>
      <c r="C17" s="3">
        <v>259.23928823261019</v>
      </c>
      <c r="D17" s="3">
        <f t="shared" si="0"/>
        <v>74.738490425700164</v>
      </c>
      <c r="E17" s="3">
        <f t="shared" si="0"/>
        <v>55.936238488880747</v>
      </c>
      <c r="F17" s="1">
        <v>49.3733</v>
      </c>
      <c r="G17" s="1">
        <v>20.988900000000001</v>
      </c>
      <c r="H17" s="1">
        <v>10.8337</v>
      </c>
      <c r="I17" s="1">
        <v>4.0078399999999998</v>
      </c>
      <c r="J17" s="1">
        <v>2.0447500000000001</v>
      </c>
      <c r="K17" s="1">
        <v>1.3181099999999999</v>
      </c>
      <c r="L17" s="1">
        <v>1.0125200000000001</v>
      </c>
      <c r="M17" s="1">
        <v>0.78966599999999998</v>
      </c>
      <c r="N17" s="1">
        <v>0.75432999999999995</v>
      </c>
      <c r="O17" s="1">
        <v>0.764378</v>
      </c>
      <c r="P17" s="1">
        <v>0.80082500000000001</v>
      </c>
      <c r="Q17" s="1">
        <v>0.81934600000000002</v>
      </c>
      <c r="R17" s="1">
        <v>0.79185099999999997</v>
      </c>
      <c r="S17" s="1">
        <v>0.75548499999999996</v>
      </c>
      <c r="T17" s="1">
        <v>0.709816</v>
      </c>
      <c r="U17" s="1">
        <v>0.63379799999999997</v>
      </c>
      <c r="V17" s="1">
        <v>0.57467299999999999</v>
      </c>
      <c r="W17" s="1">
        <v>0.452239</v>
      </c>
      <c r="X17" s="1">
        <v>0.37639</v>
      </c>
      <c r="Y17" s="1">
        <v>0.27976899999999999</v>
      </c>
      <c r="Z17" s="1">
        <v>0.22744600000000001</v>
      </c>
      <c r="AA17" s="1">
        <v>0.19032499999999999</v>
      </c>
      <c r="AB17" s="1">
        <v>0.16409899999999999</v>
      </c>
      <c r="AC17" s="1">
        <v>0.13076399999999999</v>
      </c>
      <c r="AD17" s="1">
        <v>0.107211</v>
      </c>
    </row>
    <row r="18" spans="1:30" x14ac:dyDescent="0.25">
      <c r="C18" s="3"/>
      <c r="D18" s="3"/>
      <c r="E18" s="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25">
      <c r="C19" s="3"/>
      <c r="D19" s="3"/>
      <c r="E19" s="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25">
      <c r="C20" s="3"/>
      <c r="D20" s="3"/>
      <c r="E20" s="3"/>
      <c r="F20" s="1"/>
      <c r="G20" s="1"/>
    </row>
    <row r="21" spans="1:30" x14ac:dyDescent="0.25">
      <c r="C21" s="3"/>
      <c r="D21" s="3"/>
      <c r="E21" s="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25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AD22" s="1"/>
    </row>
    <row r="23" spans="1:30" x14ac:dyDescent="0.25">
      <c r="C23" s="3"/>
      <c r="D23" s="3"/>
      <c r="E23" s="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25">
      <c r="C24" s="3"/>
      <c r="D24" s="3"/>
      <c r="E24" s="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25">
      <c r="C25" s="3"/>
      <c r="D25" s="3"/>
      <c r="E25" s="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5">
      <c r="C26" s="3"/>
      <c r="D26" s="3"/>
      <c r="E26" s="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25">
      <c r="C27" s="3"/>
      <c r="D27" s="3"/>
      <c r="E27" s="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25">
      <c r="C28" s="3"/>
      <c r="D28" s="3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25">
      <c r="C29" s="3"/>
      <c r="D29" s="3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25">
      <c r="C30" s="3"/>
      <c r="D30" s="3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</sheetData>
  <mergeCells count="3">
    <mergeCell ref="C1:AD1"/>
    <mergeCell ref="B1:B2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3A422-1FFD-4EBA-BB21-C287D5BB306A}">
  <dimension ref="A1:AD31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21" sqref="J21"/>
    </sheetView>
  </sheetViews>
  <sheetFormatPr defaultRowHeight="15" x14ac:dyDescent="0.25"/>
  <cols>
    <col min="1" max="2" width="12.140625" bestFit="1" customWidth="1"/>
    <col min="3" max="30" width="8.7109375" customWidth="1"/>
  </cols>
  <sheetData>
    <row r="1" spans="1:30" x14ac:dyDescent="0.25">
      <c r="A1" s="6" t="s">
        <v>0</v>
      </c>
      <c r="B1" s="6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5"/>
    </row>
    <row r="2" spans="1:30" x14ac:dyDescent="0.25">
      <c r="A2" s="7"/>
      <c r="B2" s="7"/>
      <c r="C2" s="2">
        <v>9.9999999999999995E-7</v>
      </c>
      <c r="D2" s="2">
        <v>1E-3</v>
      </c>
      <c r="E2" s="2">
        <v>5.0000000000000001E-3</v>
      </c>
      <c r="F2" s="2">
        <v>0.01</v>
      </c>
      <c r="G2" s="2">
        <v>1.4999999999999999E-2</v>
      </c>
      <c r="H2" s="2">
        <v>0.02</v>
      </c>
      <c r="I2" s="2">
        <v>0.03</v>
      </c>
      <c r="J2" s="2">
        <v>0.04</v>
      </c>
      <c r="K2" s="2">
        <v>0.05</v>
      </c>
      <c r="L2" s="2">
        <v>0.06</v>
      </c>
      <c r="M2" s="2">
        <v>0.08</v>
      </c>
      <c r="N2" s="2">
        <v>0.1</v>
      </c>
      <c r="O2" s="2">
        <v>0.15</v>
      </c>
      <c r="P2" s="2">
        <v>0.2</v>
      </c>
      <c r="Q2" s="2">
        <v>0.3</v>
      </c>
      <c r="R2" s="2">
        <v>0.4</v>
      </c>
      <c r="S2" s="2">
        <v>0.5</v>
      </c>
      <c r="T2" s="2">
        <v>0.6</v>
      </c>
      <c r="U2" s="2">
        <v>0.8</v>
      </c>
      <c r="V2" s="2">
        <v>1</v>
      </c>
      <c r="W2" s="2">
        <v>1.5</v>
      </c>
      <c r="X2" s="2">
        <v>2</v>
      </c>
      <c r="Y2" s="2">
        <v>3</v>
      </c>
      <c r="Z2" s="2">
        <v>4</v>
      </c>
      <c r="AA2" s="2">
        <v>5</v>
      </c>
      <c r="AB2" s="2">
        <v>6</v>
      </c>
      <c r="AC2" s="2">
        <v>8</v>
      </c>
      <c r="AD2" s="2">
        <v>10</v>
      </c>
    </row>
    <row r="3" spans="1:30" x14ac:dyDescent="0.25">
      <c r="A3" t="s">
        <v>24</v>
      </c>
      <c r="B3" t="s">
        <v>5</v>
      </c>
      <c r="C3" s="3">
        <v>9.9999999999999998E-13</v>
      </c>
      <c r="D3" s="3">
        <f t="shared" ref="D3:E17" si="0">10^(LOG($C3)+((LOG($F3)-LOG($C3))/(LOG($F$2)-LOG($C$2)))*(LOG(D$2)-LOG($C$2)))</f>
        <v>4.4507494213906658E-3</v>
      </c>
      <c r="E3" s="3">
        <f t="shared" si="0"/>
        <v>0.78781019417564935</v>
      </c>
      <c r="F3" s="1">
        <v>7.3211199999999996</v>
      </c>
      <c r="G3" s="1">
        <v>7.4574100000000003</v>
      </c>
      <c r="H3" s="1">
        <v>5.8486099999999999</v>
      </c>
      <c r="I3" s="1">
        <v>2.80246</v>
      </c>
      <c r="J3" s="1">
        <v>1.51417</v>
      </c>
      <c r="K3" s="1">
        <v>1.03491</v>
      </c>
      <c r="L3" s="1">
        <v>0.79528100000000002</v>
      </c>
      <c r="M3" s="1">
        <v>0.63303699999999996</v>
      </c>
      <c r="N3" s="1">
        <v>0.59631100000000004</v>
      </c>
      <c r="O3" s="1">
        <v>0.61080599999999996</v>
      </c>
      <c r="P3" s="1">
        <v>0.63057399999999997</v>
      </c>
      <c r="Q3" s="1">
        <v>0.65366800000000003</v>
      </c>
      <c r="R3" s="1">
        <v>0.66449199999999997</v>
      </c>
      <c r="S3" s="1">
        <v>0.65913299999999997</v>
      </c>
      <c r="T3" s="1">
        <v>0.65119700000000003</v>
      </c>
      <c r="U3" s="1">
        <v>0.62218499999999999</v>
      </c>
      <c r="V3" s="1">
        <v>0.59362300000000001</v>
      </c>
      <c r="W3" s="1">
        <v>0.52524800000000005</v>
      </c>
      <c r="X3" s="1">
        <v>0.46474599999999999</v>
      </c>
      <c r="Y3" s="1">
        <v>0.37276999999999999</v>
      </c>
      <c r="Z3" s="1">
        <v>0.31116199999999999</v>
      </c>
      <c r="AA3" s="1">
        <v>0.26486500000000002</v>
      </c>
      <c r="AB3" s="1">
        <v>0.22899</v>
      </c>
      <c r="AC3" s="1">
        <v>0.18070900000000001</v>
      </c>
      <c r="AD3" s="1">
        <v>0.147392</v>
      </c>
    </row>
    <row r="4" spans="1:30" x14ac:dyDescent="0.25">
      <c r="A4" t="s">
        <v>6</v>
      </c>
      <c r="B4" t="s">
        <v>5</v>
      </c>
      <c r="C4" s="3">
        <v>9.9999999999999998E-13</v>
      </c>
      <c r="D4" s="3">
        <f t="shared" si="0"/>
        <v>9.9439536932680924E-3</v>
      </c>
      <c r="E4" s="3">
        <f t="shared" si="0"/>
        <v>2.1227087045237347</v>
      </c>
      <c r="F4" s="1">
        <v>21.383500000000002</v>
      </c>
      <c r="G4" s="1">
        <v>8.8407099999999996</v>
      </c>
      <c r="H4" s="1">
        <v>4.3175999999999997</v>
      </c>
      <c r="I4" s="1">
        <v>1.60405</v>
      </c>
      <c r="J4" s="1">
        <v>0.87725399999999998</v>
      </c>
      <c r="K4" s="1">
        <v>0.64185099999999995</v>
      </c>
      <c r="L4" s="1">
        <v>0.51790599999999998</v>
      </c>
      <c r="M4" s="1">
        <v>0.47286800000000001</v>
      </c>
      <c r="N4" s="1">
        <v>0.48633900000000002</v>
      </c>
      <c r="O4" s="1">
        <v>0.48771999999999999</v>
      </c>
      <c r="P4" s="1">
        <v>0.46193699999999999</v>
      </c>
      <c r="Q4" s="1">
        <v>0.51911499999999999</v>
      </c>
      <c r="R4" s="1">
        <v>0.557392</v>
      </c>
      <c r="S4" s="1">
        <v>0.51393200000000006</v>
      </c>
      <c r="T4" s="1">
        <v>0.51818600000000004</v>
      </c>
      <c r="U4" s="1">
        <v>0.51537999999999995</v>
      </c>
      <c r="V4" s="1">
        <v>0.467173</v>
      </c>
      <c r="W4" s="1">
        <v>0.39752599999999999</v>
      </c>
      <c r="X4" s="1">
        <v>0.36054000000000003</v>
      </c>
      <c r="Y4" s="1">
        <v>0.277225</v>
      </c>
      <c r="Z4" s="1">
        <v>0.238122</v>
      </c>
      <c r="AA4" s="1">
        <v>0.21231900000000001</v>
      </c>
      <c r="AB4" s="1">
        <v>0.18543299999999999</v>
      </c>
      <c r="AC4" s="1">
        <v>0.152389</v>
      </c>
      <c r="AD4" s="1">
        <v>0.13245599999999999</v>
      </c>
    </row>
    <row r="5" spans="1:30" x14ac:dyDescent="0.25">
      <c r="A5" t="s">
        <v>3</v>
      </c>
      <c r="B5" t="s">
        <v>18</v>
      </c>
      <c r="C5" s="3">
        <v>9.9999999999999998E-13</v>
      </c>
      <c r="D5" s="3">
        <f t="shared" si="0"/>
        <v>7.19279501418469E-3</v>
      </c>
      <c r="E5" s="3">
        <f t="shared" si="0"/>
        <v>1.4238239345410921</v>
      </c>
      <c r="F5" s="1">
        <v>13.884499999999999</v>
      </c>
      <c r="G5" s="1">
        <v>11.4284</v>
      </c>
      <c r="H5" s="1">
        <v>7.3131899999999996</v>
      </c>
      <c r="I5" s="1">
        <v>2.87446</v>
      </c>
      <c r="J5" s="1">
        <v>1.4471000000000001</v>
      </c>
      <c r="K5" s="1">
        <v>0.92493599999999998</v>
      </c>
      <c r="L5" s="1">
        <v>0.72189400000000004</v>
      </c>
      <c r="M5" s="1">
        <v>0.57028800000000002</v>
      </c>
      <c r="N5" s="1">
        <v>0.54482600000000003</v>
      </c>
      <c r="O5" s="1">
        <v>0.55122899999999997</v>
      </c>
      <c r="P5" s="1">
        <v>0.56580200000000003</v>
      </c>
      <c r="Q5" s="1">
        <v>0.61058599999999996</v>
      </c>
      <c r="R5" s="1">
        <v>0.62120200000000003</v>
      </c>
      <c r="S5" s="1">
        <v>0.61595</v>
      </c>
      <c r="T5" s="1">
        <v>0.60812999999999995</v>
      </c>
      <c r="U5" s="1">
        <v>0.58844200000000002</v>
      </c>
      <c r="V5" s="1">
        <v>0.55354400000000004</v>
      </c>
      <c r="W5" s="1">
        <v>0.462839</v>
      </c>
      <c r="X5" s="1">
        <v>0.39010499999999998</v>
      </c>
      <c r="Y5" s="1">
        <v>0.27429399999999998</v>
      </c>
      <c r="Z5" s="1">
        <v>0.20919499999999999</v>
      </c>
      <c r="AA5" s="1">
        <v>0.16588800000000001</v>
      </c>
      <c r="AB5" s="1">
        <v>0.135876</v>
      </c>
      <c r="AC5" s="1">
        <v>0.100746</v>
      </c>
      <c r="AD5" s="1">
        <v>8.1342100000000001E-2</v>
      </c>
    </row>
    <row r="6" spans="1:30" x14ac:dyDescent="0.25">
      <c r="A6" t="s">
        <v>4</v>
      </c>
      <c r="B6" t="s">
        <v>18</v>
      </c>
      <c r="C6" s="3">
        <v>9.9999999999999998E-13</v>
      </c>
      <c r="D6" s="3">
        <f t="shared" si="0"/>
        <v>1.690988141793616E-2</v>
      </c>
      <c r="E6" s="3">
        <f t="shared" si="0"/>
        <v>4.0850280823863701</v>
      </c>
      <c r="F6" s="1">
        <v>43.403100000000002</v>
      </c>
      <c r="G6" s="1">
        <v>21.133700000000001</v>
      </c>
      <c r="H6" s="1">
        <v>11.1069</v>
      </c>
      <c r="I6" s="1">
        <v>4.0312900000000003</v>
      </c>
      <c r="J6" s="1">
        <v>1.93269</v>
      </c>
      <c r="K6" s="1">
        <v>1.14527</v>
      </c>
      <c r="L6" s="1">
        <v>0.92305599999999999</v>
      </c>
      <c r="M6" s="1">
        <v>0.75127699999999997</v>
      </c>
      <c r="N6" s="1">
        <v>0.73767199999999999</v>
      </c>
      <c r="O6" s="1">
        <v>0.70700799999999997</v>
      </c>
      <c r="P6" s="1">
        <v>0.74796899999999999</v>
      </c>
      <c r="Q6" s="1">
        <v>0.79134300000000002</v>
      </c>
      <c r="R6" s="1">
        <v>0.78729300000000002</v>
      </c>
      <c r="S6" s="1">
        <v>0.79942100000000005</v>
      </c>
      <c r="T6" s="1">
        <v>0.76339500000000005</v>
      </c>
      <c r="U6" s="1">
        <v>0.73008300000000004</v>
      </c>
      <c r="V6" s="1">
        <v>0.664103</v>
      </c>
      <c r="W6" s="1">
        <v>0.49166199999999999</v>
      </c>
      <c r="X6" s="1">
        <v>0.422655</v>
      </c>
      <c r="Y6" s="1">
        <v>0.27476400000000001</v>
      </c>
      <c r="Z6" s="1">
        <v>0.20283499999999999</v>
      </c>
      <c r="AA6" s="1">
        <v>0.16817599999999999</v>
      </c>
      <c r="AB6" s="1">
        <v>0.14391899999999999</v>
      </c>
      <c r="AC6" s="1">
        <v>0.104977</v>
      </c>
      <c r="AD6" s="1">
        <v>8.6314500000000002E-2</v>
      </c>
    </row>
    <row r="7" spans="1:30" x14ac:dyDescent="0.25">
      <c r="A7" t="s">
        <v>7</v>
      </c>
      <c r="B7" t="s">
        <v>19</v>
      </c>
      <c r="C7" s="3">
        <v>9.9999999999999998E-13</v>
      </c>
      <c r="D7" s="3">
        <f t="shared" si="0"/>
        <v>1.8549514184494546E-3</v>
      </c>
      <c r="E7" s="3">
        <f t="shared" si="0"/>
        <v>0.26776965047281698</v>
      </c>
      <c r="F7" s="1">
        <v>2.2791700000000001</v>
      </c>
      <c r="G7" s="1">
        <v>2.2869000000000002</v>
      </c>
      <c r="H7" s="1">
        <v>1.9646699999999999</v>
      </c>
      <c r="I7" s="1">
        <v>1.1633899999999999</v>
      </c>
      <c r="J7" s="1">
        <v>0.68978099999999998</v>
      </c>
      <c r="K7" s="1">
        <v>0.48156199999999999</v>
      </c>
      <c r="L7" s="1">
        <v>0.37301200000000001</v>
      </c>
      <c r="M7" s="1">
        <v>0.291688</v>
      </c>
      <c r="N7" s="1">
        <v>0.265565</v>
      </c>
      <c r="O7" s="1">
        <v>0.26247100000000001</v>
      </c>
      <c r="P7" s="1">
        <v>0.26536399999999999</v>
      </c>
      <c r="Q7" s="1">
        <v>0.274538</v>
      </c>
      <c r="R7" s="1">
        <v>0.27472999999999997</v>
      </c>
      <c r="S7" s="1">
        <v>0.27232299999999998</v>
      </c>
      <c r="T7" s="1">
        <v>0.269015</v>
      </c>
      <c r="U7" s="1">
        <v>0.25958700000000001</v>
      </c>
      <c r="V7" s="1">
        <v>0.24922900000000001</v>
      </c>
      <c r="W7" s="1">
        <v>0.222048</v>
      </c>
      <c r="X7" s="1">
        <v>0.19958999999999999</v>
      </c>
      <c r="Y7" s="1">
        <v>0.16528200000000001</v>
      </c>
      <c r="Z7" s="1">
        <v>0.140158</v>
      </c>
      <c r="AA7" s="1">
        <v>0.12228</v>
      </c>
      <c r="AB7" s="1">
        <v>0.108963</v>
      </c>
      <c r="AC7" s="1">
        <v>8.8537099999999994E-2</v>
      </c>
      <c r="AD7" s="1">
        <v>7.4908500000000003E-2</v>
      </c>
    </row>
    <row r="8" spans="1:30" x14ac:dyDescent="0.25">
      <c r="A8" t="s">
        <v>8</v>
      </c>
      <c r="B8" t="s">
        <v>19</v>
      </c>
      <c r="C8" s="3">
        <v>149.49761327060412</v>
      </c>
      <c r="D8" s="3">
        <f t="shared" si="0"/>
        <v>48.056315080979402</v>
      </c>
      <c r="E8" s="3">
        <f t="shared" si="0"/>
        <v>36.890409048424956</v>
      </c>
      <c r="F8" s="1">
        <v>32.919699999999999</v>
      </c>
      <c r="G8" s="1">
        <v>13.292199999999999</v>
      </c>
      <c r="H8" s="1">
        <v>6.7194799999999999</v>
      </c>
      <c r="I8" s="1">
        <v>2.5135200000000002</v>
      </c>
      <c r="J8" s="1">
        <v>1.27315</v>
      </c>
      <c r="K8" s="1">
        <v>0.82661600000000002</v>
      </c>
      <c r="L8" s="1">
        <v>0.63412599999999997</v>
      </c>
      <c r="M8" s="1">
        <v>0.50085100000000005</v>
      </c>
      <c r="N8" s="1">
        <v>0.47219299999999997</v>
      </c>
      <c r="O8" s="1">
        <v>0.49019299999999999</v>
      </c>
      <c r="P8" s="1">
        <v>0.50617100000000004</v>
      </c>
      <c r="Q8" s="1">
        <v>0.50546800000000003</v>
      </c>
      <c r="R8" s="1">
        <v>0.49265399999999998</v>
      </c>
      <c r="S8" s="1">
        <v>0.46243099999999998</v>
      </c>
      <c r="T8" s="1">
        <v>0.43463099999999999</v>
      </c>
      <c r="U8" s="1">
        <v>0.38878000000000001</v>
      </c>
      <c r="V8" s="1">
        <v>0.34884300000000001</v>
      </c>
      <c r="W8" s="1">
        <v>0.27667700000000001</v>
      </c>
      <c r="X8" s="1">
        <v>0.230013</v>
      </c>
      <c r="Y8" s="1">
        <v>0.176174</v>
      </c>
      <c r="Z8" s="1">
        <v>0.14297599999999999</v>
      </c>
      <c r="AA8" s="1">
        <v>0.121785</v>
      </c>
      <c r="AB8" s="1">
        <v>0.106083</v>
      </c>
      <c r="AC8" s="1">
        <v>8.5688700000000007E-2</v>
      </c>
      <c r="AD8" s="1">
        <v>7.2067599999999996E-2</v>
      </c>
    </row>
    <row r="9" spans="1:30" x14ac:dyDescent="0.25">
      <c r="A9" t="s">
        <v>9</v>
      </c>
      <c r="B9" t="s">
        <v>20</v>
      </c>
      <c r="C9" s="3">
        <v>9.9999999999999998E-13</v>
      </c>
      <c r="D9" s="3">
        <f t="shared" si="0"/>
        <v>1.1877761151231926E-3</v>
      </c>
      <c r="E9" s="3">
        <f t="shared" si="0"/>
        <v>0.15454573081650691</v>
      </c>
      <c r="F9" s="1">
        <v>1.2579</v>
      </c>
      <c r="G9" s="1">
        <v>1.1218999999999999</v>
      </c>
      <c r="H9" s="1">
        <v>0.83944099999999999</v>
      </c>
      <c r="I9" s="1">
        <v>0.46174199999999999</v>
      </c>
      <c r="J9" s="1">
        <v>0.28295199999999998</v>
      </c>
      <c r="K9" s="1">
        <v>0.19622600000000001</v>
      </c>
      <c r="L9" s="1">
        <v>0.15606200000000001</v>
      </c>
      <c r="M9" s="1">
        <v>0.121812</v>
      </c>
      <c r="N9" s="1">
        <v>0.110749</v>
      </c>
      <c r="O9" s="1">
        <v>0.106503</v>
      </c>
      <c r="P9" s="1">
        <v>0.109415</v>
      </c>
      <c r="Q9" s="1">
        <v>0.11282399999999999</v>
      </c>
      <c r="R9" s="1">
        <v>0.112927</v>
      </c>
      <c r="S9" s="1">
        <v>0.111469</v>
      </c>
      <c r="T9" s="1">
        <v>0.11085200000000001</v>
      </c>
      <c r="U9" s="1">
        <v>0.10693900000000001</v>
      </c>
      <c r="V9" s="1">
        <v>0.10188999999999999</v>
      </c>
      <c r="W9" s="1">
        <v>8.9994699999999997E-2</v>
      </c>
      <c r="X9" s="1">
        <v>7.9380900000000004E-2</v>
      </c>
      <c r="Y9" s="1">
        <v>6.4441200000000004E-2</v>
      </c>
      <c r="Z9" s="1">
        <v>5.4462499999999997E-2</v>
      </c>
      <c r="AA9" s="1">
        <v>4.78197E-2</v>
      </c>
      <c r="AB9" s="1">
        <v>4.2420100000000002E-2</v>
      </c>
      <c r="AC9" s="1">
        <v>3.5477700000000001E-2</v>
      </c>
      <c r="AD9" s="1">
        <v>3.0712E-2</v>
      </c>
    </row>
    <row r="10" spans="1:30" x14ac:dyDescent="0.25">
      <c r="A10" t="s">
        <v>11</v>
      </c>
      <c r="B10" t="s">
        <v>20</v>
      </c>
      <c r="C10" s="3">
        <v>50.94347312222358</v>
      </c>
      <c r="D10" s="3">
        <f t="shared" si="0"/>
        <v>13.286421158996093</v>
      </c>
      <c r="E10" s="3">
        <f t="shared" si="0"/>
        <v>9.7144068002251984</v>
      </c>
      <c r="F10" s="1">
        <v>8.4888300000000001</v>
      </c>
      <c r="G10" s="1">
        <v>3.4051800000000001</v>
      </c>
      <c r="H10" s="1">
        <v>1.7863500000000001</v>
      </c>
      <c r="I10" s="1">
        <v>0.72854399999999997</v>
      </c>
      <c r="J10" s="1">
        <v>0.39517000000000002</v>
      </c>
      <c r="K10" s="1">
        <v>0.26727099999999998</v>
      </c>
      <c r="L10" s="1">
        <v>0.20736499999999999</v>
      </c>
      <c r="M10" s="1">
        <v>0.16633700000000001</v>
      </c>
      <c r="N10" s="1">
        <v>0.15371599999999999</v>
      </c>
      <c r="O10" s="1">
        <v>0.15437899999999999</v>
      </c>
      <c r="P10" s="1">
        <v>0.157305</v>
      </c>
      <c r="Q10" s="1">
        <v>0.15530099999999999</v>
      </c>
      <c r="R10" s="1">
        <v>0.14918799999999999</v>
      </c>
      <c r="S10" s="1">
        <v>0.14314499999999999</v>
      </c>
      <c r="T10" s="1">
        <v>0.13486300000000001</v>
      </c>
      <c r="U10" s="1">
        <v>0.12350999999999999</v>
      </c>
      <c r="V10" s="1">
        <v>0.11272</v>
      </c>
      <c r="W10" s="1">
        <v>9.3540700000000004E-2</v>
      </c>
      <c r="X10" s="1">
        <v>8.0547999999999995E-2</v>
      </c>
      <c r="Y10" s="1">
        <v>6.4235899999999999E-2</v>
      </c>
      <c r="Z10" s="1">
        <v>5.4445E-2</v>
      </c>
      <c r="AA10" s="1">
        <v>4.7627200000000001E-2</v>
      </c>
      <c r="AB10" s="1">
        <v>4.2216499999999997E-2</v>
      </c>
      <c r="AC10" s="1">
        <v>3.5155600000000002E-2</v>
      </c>
      <c r="AD10" s="1">
        <v>3.0546500000000001E-2</v>
      </c>
    </row>
    <row r="11" spans="1:30" x14ac:dyDescent="0.25">
      <c r="A11" t="s">
        <v>10</v>
      </c>
      <c r="B11" t="s">
        <v>20</v>
      </c>
      <c r="C11" s="3">
        <v>9.9999999999999998E-13</v>
      </c>
      <c r="D11" s="3">
        <f t="shared" si="0"/>
        <v>8.4992319778202257E-4</v>
      </c>
      <c r="E11" s="3">
        <f t="shared" si="0"/>
        <v>0.10229063350369036</v>
      </c>
      <c r="F11" s="1">
        <v>0.80508100000000005</v>
      </c>
      <c r="G11" s="1">
        <v>0.94470699999999996</v>
      </c>
      <c r="H11" s="1">
        <v>0.767509</v>
      </c>
      <c r="I11" s="1">
        <v>0.44406499999999999</v>
      </c>
      <c r="J11" s="1">
        <v>0.27125100000000002</v>
      </c>
      <c r="K11" s="1">
        <v>0.19222</v>
      </c>
      <c r="L11" s="1">
        <v>0.14995600000000001</v>
      </c>
      <c r="M11" s="1">
        <v>0.118349</v>
      </c>
      <c r="N11" s="1">
        <v>0.107775</v>
      </c>
      <c r="O11" s="1">
        <v>0.10542799999999999</v>
      </c>
      <c r="P11" s="1">
        <v>0.107473</v>
      </c>
      <c r="Q11" s="1">
        <v>0.10863100000000001</v>
      </c>
      <c r="R11" s="1">
        <v>0.10868700000000001</v>
      </c>
      <c r="S11" s="1">
        <v>0.108614</v>
      </c>
      <c r="T11" s="1">
        <v>0.107015</v>
      </c>
      <c r="U11" s="1">
        <v>0.104489</v>
      </c>
      <c r="V11" s="1">
        <v>9.9475599999999997E-2</v>
      </c>
      <c r="W11" s="1">
        <v>8.8649500000000006E-2</v>
      </c>
      <c r="X11" s="1">
        <v>7.9530400000000001E-2</v>
      </c>
      <c r="Y11" s="1">
        <v>6.4390900000000001E-2</v>
      </c>
      <c r="Z11" s="1">
        <v>5.4881600000000003E-2</v>
      </c>
      <c r="AA11" s="1">
        <v>4.7738500000000003E-2</v>
      </c>
      <c r="AB11" s="1">
        <v>4.2723400000000002E-2</v>
      </c>
      <c r="AC11" s="1">
        <v>3.5575099999999998E-2</v>
      </c>
      <c r="AD11" s="1">
        <v>3.0721700000000001E-2</v>
      </c>
    </row>
    <row r="12" spans="1:30" x14ac:dyDescent="0.25">
      <c r="A12" t="s">
        <v>12</v>
      </c>
      <c r="B12" t="s">
        <v>21</v>
      </c>
      <c r="C12" s="3">
        <v>9.9999999999999998E-13</v>
      </c>
      <c r="D12" s="3">
        <f t="shared" si="0"/>
        <v>1.7780041161755754E-3</v>
      </c>
      <c r="E12" s="3">
        <f t="shared" si="0"/>
        <v>0.25414092696264207</v>
      </c>
      <c r="F12" s="1">
        <v>2.1539899999999998</v>
      </c>
      <c r="G12" s="1">
        <v>2.3609900000000001</v>
      </c>
      <c r="H12" s="1">
        <v>1.97746</v>
      </c>
      <c r="I12" s="1">
        <v>1.1267</v>
      </c>
      <c r="J12" s="1">
        <v>0.66145799999999999</v>
      </c>
      <c r="K12" s="1">
        <v>0.45094400000000001</v>
      </c>
      <c r="L12" s="1">
        <v>0.34454000000000001</v>
      </c>
      <c r="M12" s="1">
        <v>0.271615</v>
      </c>
      <c r="N12" s="1">
        <v>0.245778</v>
      </c>
      <c r="O12" s="1">
        <v>0.246088</v>
      </c>
      <c r="P12" s="1">
        <v>0.24729799999999999</v>
      </c>
      <c r="Q12" s="1">
        <v>0.25583299999999998</v>
      </c>
      <c r="R12" s="1">
        <v>0.25968400000000003</v>
      </c>
      <c r="S12" s="1">
        <v>0.25884299999999999</v>
      </c>
      <c r="T12" s="1">
        <v>0.26094600000000001</v>
      </c>
      <c r="U12" s="1">
        <v>0.25673600000000002</v>
      </c>
      <c r="V12" s="1">
        <v>0.24599299999999999</v>
      </c>
      <c r="W12" s="1">
        <v>0.22419700000000001</v>
      </c>
      <c r="X12" s="1">
        <v>0.200104</v>
      </c>
      <c r="Y12" s="1">
        <v>0.163217</v>
      </c>
      <c r="Z12" s="1">
        <v>0.13813</v>
      </c>
      <c r="AA12" s="1">
        <v>0.118475</v>
      </c>
      <c r="AB12" s="1">
        <v>0.104324</v>
      </c>
      <c r="AC12" s="1">
        <v>8.4209800000000001E-2</v>
      </c>
      <c r="AD12" s="1">
        <v>7.0558499999999996E-2</v>
      </c>
    </row>
    <row r="13" spans="1:30" x14ac:dyDescent="0.25">
      <c r="A13" t="s">
        <v>13</v>
      </c>
      <c r="B13" t="s">
        <v>21</v>
      </c>
      <c r="C13" s="3">
        <v>124.40286624203824</v>
      </c>
      <c r="D13" s="3">
        <f t="shared" si="0"/>
        <v>35.512510563389782</v>
      </c>
      <c r="E13" s="3">
        <f t="shared" si="0"/>
        <v>26.517354839236184</v>
      </c>
      <c r="F13" s="1">
        <v>23.382899999999999</v>
      </c>
      <c r="G13" s="1">
        <v>9.9716900000000006</v>
      </c>
      <c r="H13" s="1">
        <v>5.2397799999999997</v>
      </c>
      <c r="I13" s="1">
        <v>2.0153599999999998</v>
      </c>
      <c r="J13" s="1">
        <v>1.0627800000000001</v>
      </c>
      <c r="K13" s="1">
        <v>0.69245999999999996</v>
      </c>
      <c r="L13" s="1">
        <v>0.53152999999999995</v>
      </c>
      <c r="M13" s="1">
        <v>0.41790500000000003</v>
      </c>
      <c r="N13" s="1">
        <v>0.39263500000000001</v>
      </c>
      <c r="O13" s="1">
        <v>0.39656200000000003</v>
      </c>
      <c r="P13" s="1">
        <v>0.41184100000000001</v>
      </c>
      <c r="Q13" s="1">
        <v>0.42261100000000001</v>
      </c>
      <c r="R13" s="1">
        <v>0.418543</v>
      </c>
      <c r="S13" s="1">
        <v>0.40144099999999999</v>
      </c>
      <c r="T13" s="1">
        <v>0.383301</v>
      </c>
      <c r="U13" s="1">
        <v>0.35486899999999999</v>
      </c>
      <c r="V13" s="1">
        <v>0.32861899999999999</v>
      </c>
      <c r="W13" s="1">
        <v>0.26928099999999999</v>
      </c>
      <c r="X13" s="1">
        <v>0.22427800000000001</v>
      </c>
      <c r="Y13" s="1">
        <v>0.17136999999999999</v>
      </c>
      <c r="Z13" s="1">
        <v>0.13942199999999999</v>
      </c>
      <c r="AA13" s="1">
        <v>0.11848</v>
      </c>
      <c r="AB13" s="1">
        <v>0.103571</v>
      </c>
      <c r="AC13" s="1">
        <v>8.4252900000000006E-2</v>
      </c>
      <c r="AD13" s="1">
        <v>6.9955900000000001E-2</v>
      </c>
    </row>
    <row r="14" spans="1:30" x14ac:dyDescent="0.25">
      <c r="A14" t="s">
        <v>14</v>
      </c>
      <c r="B14" t="s">
        <v>22</v>
      </c>
      <c r="C14" s="3">
        <v>9.9999999999999998E-13</v>
      </c>
      <c r="D14" s="3">
        <f t="shared" si="0"/>
        <v>2.9223627449265137E-3</v>
      </c>
      <c r="E14" s="3">
        <f t="shared" si="0"/>
        <v>0.46898130380313813</v>
      </c>
      <c r="F14" s="1">
        <v>4.1780999999999997</v>
      </c>
      <c r="G14" s="1">
        <v>4.3794399999999998</v>
      </c>
      <c r="H14" s="1">
        <v>3.2933599999999998</v>
      </c>
      <c r="I14" s="1">
        <v>1.5683199999999999</v>
      </c>
      <c r="J14" s="1">
        <v>0.83547800000000005</v>
      </c>
      <c r="K14" s="1">
        <v>0.55323</v>
      </c>
      <c r="L14" s="1">
        <v>0.41683799999999999</v>
      </c>
      <c r="M14" s="1">
        <v>0.33517400000000003</v>
      </c>
      <c r="N14" s="1">
        <v>0.309838</v>
      </c>
      <c r="O14" s="1">
        <v>0.30652000000000001</v>
      </c>
      <c r="P14" s="1">
        <v>0.31681199999999998</v>
      </c>
      <c r="Q14" s="1">
        <v>0.335395</v>
      </c>
      <c r="R14" s="1">
        <v>0.34031400000000001</v>
      </c>
      <c r="S14" s="1">
        <v>0.34187099999999998</v>
      </c>
      <c r="T14" s="1">
        <v>0.33787800000000001</v>
      </c>
      <c r="U14" s="1">
        <v>0.334011</v>
      </c>
      <c r="V14" s="1">
        <v>0.322579</v>
      </c>
      <c r="W14" s="1">
        <v>0.28765299999999999</v>
      </c>
      <c r="X14" s="1">
        <v>0.25412899999999999</v>
      </c>
      <c r="Y14" s="1">
        <v>0.19614300000000001</v>
      </c>
      <c r="Z14" s="1">
        <v>0.15812100000000001</v>
      </c>
      <c r="AA14" s="1">
        <v>0.13009499999999999</v>
      </c>
      <c r="AB14" s="1">
        <v>0.11129600000000001</v>
      </c>
      <c r="AC14" s="1">
        <v>8.5661200000000007E-2</v>
      </c>
      <c r="AD14" s="1">
        <v>7.0429199999999997E-2</v>
      </c>
    </row>
    <row r="15" spans="1:30" x14ac:dyDescent="0.25">
      <c r="A15" t="s">
        <v>15</v>
      </c>
      <c r="B15" t="s">
        <v>22</v>
      </c>
      <c r="C15" s="3">
        <v>180.55527970721153</v>
      </c>
      <c r="D15" s="3">
        <f t="shared" si="0"/>
        <v>51.362405299321424</v>
      </c>
      <c r="E15" s="3">
        <f t="shared" si="0"/>
        <v>38.321368067791063</v>
      </c>
      <c r="F15" s="1">
        <v>33.779800000000002</v>
      </c>
      <c r="G15" s="1">
        <v>14.3474</v>
      </c>
      <c r="H15" s="1">
        <v>7.4170100000000003</v>
      </c>
      <c r="I15" s="1">
        <v>2.7222400000000002</v>
      </c>
      <c r="J15" s="1">
        <v>1.33527</v>
      </c>
      <c r="K15" s="1">
        <v>0.85179099999999996</v>
      </c>
      <c r="L15" s="1">
        <v>0.64725200000000005</v>
      </c>
      <c r="M15" s="1">
        <v>0.51640299999999995</v>
      </c>
      <c r="N15" s="1">
        <v>0.501085</v>
      </c>
      <c r="O15" s="1">
        <v>0.50872499999999998</v>
      </c>
      <c r="P15" s="1">
        <v>0.52616099999999999</v>
      </c>
      <c r="Q15" s="1">
        <v>0.53916399999999998</v>
      </c>
      <c r="R15" s="1">
        <v>0.529389</v>
      </c>
      <c r="S15" s="1">
        <v>0.51335900000000001</v>
      </c>
      <c r="T15" s="1">
        <v>0.48790600000000001</v>
      </c>
      <c r="U15" s="1">
        <v>0.44323000000000001</v>
      </c>
      <c r="V15" s="1">
        <v>0.40580699999999997</v>
      </c>
      <c r="W15" s="1">
        <v>0.326403</v>
      </c>
      <c r="X15" s="1">
        <v>0.26781100000000002</v>
      </c>
      <c r="Y15" s="1">
        <v>0.19767499999999999</v>
      </c>
      <c r="Z15" s="1">
        <v>0.15514900000000001</v>
      </c>
      <c r="AA15" s="1">
        <v>0.12906500000000001</v>
      </c>
      <c r="AB15" s="1">
        <v>0.10972899999999999</v>
      </c>
      <c r="AC15" s="1">
        <v>8.3690899999999999E-2</v>
      </c>
      <c r="AD15" s="1">
        <v>6.8942900000000001E-2</v>
      </c>
    </row>
    <row r="16" spans="1:30" x14ac:dyDescent="0.25">
      <c r="A16" t="s">
        <v>16</v>
      </c>
      <c r="B16" t="s">
        <v>23</v>
      </c>
      <c r="C16" s="3">
        <v>9.9999999999999998E-13</v>
      </c>
      <c r="D16" s="3">
        <f t="shared" si="0"/>
        <v>2.8884243779096872E-3</v>
      </c>
      <c r="E16" s="3">
        <f t="shared" si="0"/>
        <v>0.46227501588184455</v>
      </c>
      <c r="F16" s="1">
        <v>4.1135299999999999</v>
      </c>
      <c r="G16" s="1">
        <v>4.2323000000000004</v>
      </c>
      <c r="H16" s="1">
        <v>3.2786300000000002</v>
      </c>
      <c r="I16" s="1">
        <v>1.63069</v>
      </c>
      <c r="J16" s="1">
        <v>0.903447</v>
      </c>
      <c r="K16" s="1">
        <v>0.597472</v>
      </c>
      <c r="L16" s="1">
        <v>0.45563900000000002</v>
      </c>
      <c r="M16" s="1">
        <v>0.36367100000000002</v>
      </c>
      <c r="N16" s="1">
        <v>0.34307900000000002</v>
      </c>
      <c r="O16" s="1">
        <v>0.33169799999999999</v>
      </c>
      <c r="P16" s="1">
        <v>0.34217799999999998</v>
      </c>
      <c r="Q16" s="1">
        <v>0.354182</v>
      </c>
      <c r="R16" s="1">
        <v>0.36118</v>
      </c>
      <c r="S16" s="1">
        <v>0.36298999999999998</v>
      </c>
      <c r="T16" s="1">
        <v>0.35884300000000002</v>
      </c>
      <c r="U16" s="1">
        <v>0.35395900000000002</v>
      </c>
      <c r="V16" s="1">
        <v>0.341858</v>
      </c>
      <c r="W16" s="1">
        <v>0.30573400000000001</v>
      </c>
      <c r="X16" s="1">
        <v>0.269036</v>
      </c>
      <c r="Y16" s="1">
        <v>0.211115</v>
      </c>
      <c r="Z16" s="1">
        <v>0.17289399999999999</v>
      </c>
      <c r="AA16" s="1">
        <v>0.146397</v>
      </c>
      <c r="AB16" s="1">
        <v>0.12539900000000001</v>
      </c>
      <c r="AC16" s="1">
        <v>9.8067000000000001E-2</v>
      </c>
      <c r="AD16" s="1">
        <v>8.0507200000000001E-2</v>
      </c>
    </row>
    <row r="17" spans="1:30" x14ac:dyDescent="0.25">
      <c r="A17" t="s">
        <v>17</v>
      </c>
      <c r="B17" t="s">
        <v>23</v>
      </c>
      <c r="C17" s="3">
        <v>187.0256561795147</v>
      </c>
      <c r="D17" s="3">
        <f t="shared" si="0"/>
        <v>53.117895692244126</v>
      </c>
      <c r="E17" s="3">
        <f t="shared" si="0"/>
        <v>39.616351084119657</v>
      </c>
      <c r="F17" s="1">
        <v>34.915700000000001</v>
      </c>
      <c r="G17" s="1">
        <v>14.91</v>
      </c>
      <c r="H17" s="1">
        <v>7.7406499999999996</v>
      </c>
      <c r="I17" s="1">
        <v>2.8588499999999999</v>
      </c>
      <c r="J17" s="1">
        <v>1.43797</v>
      </c>
      <c r="K17" s="1">
        <v>0.91710100000000006</v>
      </c>
      <c r="L17" s="1">
        <v>0.70163200000000003</v>
      </c>
      <c r="M17" s="1">
        <v>0.55404299999999995</v>
      </c>
      <c r="N17" s="1">
        <v>0.537775</v>
      </c>
      <c r="O17" s="1">
        <v>0.54661099999999996</v>
      </c>
      <c r="P17" s="1">
        <v>0.56080300000000005</v>
      </c>
      <c r="Q17" s="1">
        <v>0.57399299999999998</v>
      </c>
      <c r="R17" s="1">
        <v>0.56464499999999995</v>
      </c>
      <c r="S17" s="1">
        <v>0.54173199999999999</v>
      </c>
      <c r="T17" s="1">
        <v>0.51859999999999995</v>
      </c>
      <c r="U17" s="1">
        <v>0.47611500000000001</v>
      </c>
      <c r="V17" s="1">
        <v>0.43139300000000003</v>
      </c>
      <c r="W17" s="1">
        <v>0.34825800000000001</v>
      </c>
      <c r="X17" s="1">
        <v>0.287769</v>
      </c>
      <c r="Y17" s="1">
        <v>0.21335899999999999</v>
      </c>
      <c r="Z17" s="1">
        <v>0.16889399999999999</v>
      </c>
      <c r="AA17" s="1">
        <v>0.142294</v>
      </c>
      <c r="AB17" s="1">
        <v>0.121128</v>
      </c>
      <c r="AC17" s="1">
        <v>9.5612900000000001E-2</v>
      </c>
      <c r="AD17" s="1">
        <v>7.8786099999999998E-2</v>
      </c>
    </row>
    <row r="18" spans="1:30" x14ac:dyDescent="0.25">
      <c r="C18" s="3"/>
      <c r="D18" s="3"/>
      <c r="E18" s="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25">
      <c r="C19" s="3"/>
      <c r="D19" s="3"/>
      <c r="E19" s="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25">
      <c r="C20" s="3"/>
      <c r="D20" s="3"/>
      <c r="E20" s="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25">
      <c r="C21" s="3"/>
      <c r="D21" s="3"/>
      <c r="E21" s="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25">
      <c r="C22" s="3"/>
      <c r="D22" s="3"/>
      <c r="E22" s="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25">
      <c r="C23" s="3"/>
      <c r="D23" s="3"/>
      <c r="E23" s="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25">
      <c r="C24" s="3"/>
      <c r="D24" s="3"/>
      <c r="E24" s="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25">
      <c r="C25" s="3"/>
      <c r="D25" s="3"/>
      <c r="E25" s="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5">
      <c r="C26" s="3"/>
      <c r="D26" s="3"/>
      <c r="E26" s="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25">
      <c r="C27" s="3"/>
      <c r="D27" s="3"/>
      <c r="E27" s="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25">
      <c r="C28" s="3"/>
      <c r="D28" s="3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25">
      <c r="C29" s="3"/>
      <c r="D29" s="3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25">
      <c r="C30" s="3"/>
      <c r="D30" s="3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25">
      <c r="C31" s="3"/>
      <c r="D31" s="3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</sheetData>
  <mergeCells count="3">
    <mergeCell ref="C1:AD1"/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</vt:lpstr>
      <vt:lpstr>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Shin, Bangho</dc:creator>
  <cp:lastModifiedBy>Shin, Bangho</cp:lastModifiedBy>
  <dcterms:created xsi:type="dcterms:W3CDTF">2025-07-10T13:50:48Z</dcterms:created>
  <dcterms:modified xsi:type="dcterms:W3CDTF">2026-01-16T21:09:05Z</dcterms:modified>
</cp:coreProperties>
</file>